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 N. Romero\Documents\QCU Syllabus\1st Semester 2025-2026\"/>
    </mc:Choice>
  </mc:AlternateContent>
  <xr:revisionPtr revIDLastSave="0" documentId="8_{97DEBFF8-F3CE-45AE-B36B-F5AE9560072A}" xr6:coauthVersionLast="47" xr6:coauthVersionMax="47" xr10:uidLastSave="{00000000-0000-0000-0000-000000000000}"/>
  <bookViews>
    <workbookView xWindow="-108" yWindow="-108" windowWidth="23256" windowHeight="12456" xr2:uid="{2A11B0FD-0DE9-4A88-B0C6-7B6423102E07}"/>
  </bookViews>
  <sheets>
    <sheet name="Class Record" sheetId="1" r:id="rId1"/>
    <sheet name="Attend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T18" i="1" s="1"/>
  <c r="S19" i="1"/>
  <c r="T19" i="1" s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2" i="1"/>
  <c r="L3" i="1"/>
  <c r="L4" i="1"/>
  <c r="P4" i="1" s="1"/>
  <c r="Q4" i="1" s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2" i="1"/>
  <c r="G3" i="1"/>
  <c r="P3" i="1" s="1"/>
  <c r="Q3" i="1" s="1"/>
  <c r="G4" i="1"/>
  <c r="G5" i="1"/>
  <c r="G6" i="1"/>
  <c r="P6" i="1" s="1"/>
  <c r="Q6" i="1" s="1"/>
  <c r="G7" i="1"/>
  <c r="G8" i="1"/>
  <c r="G9" i="1"/>
  <c r="P9" i="1" s="1"/>
  <c r="Q9" i="1" s="1"/>
  <c r="G10" i="1"/>
  <c r="G11" i="1"/>
  <c r="P11" i="1" s="1"/>
  <c r="Q11" i="1" s="1"/>
  <c r="G12" i="1"/>
  <c r="P12" i="1" s="1"/>
  <c r="Q12" i="1" s="1"/>
  <c r="G13" i="1"/>
  <c r="G14" i="1"/>
  <c r="G15" i="1"/>
  <c r="P15" i="1" s="1"/>
  <c r="Q15" i="1" s="1"/>
  <c r="G16" i="1"/>
  <c r="G17" i="1"/>
  <c r="P17" i="1" s="1"/>
  <c r="Q17" i="1" s="1"/>
  <c r="G18" i="1"/>
  <c r="P18" i="1" s="1"/>
  <c r="Q18" i="1" s="1"/>
  <c r="G19" i="1"/>
  <c r="G20" i="1"/>
  <c r="G21" i="1"/>
  <c r="P21" i="1" s="1"/>
  <c r="Q21" i="1" s="1"/>
  <c r="G22" i="1"/>
  <c r="G23" i="1"/>
  <c r="P23" i="1" s="1"/>
  <c r="Q23" i="1" s="1"/>
  <c r="G24" i="1"/>
  <c r="P24" i="1" s="1"/>
  <c r="Q24" i="1" s="1"/>
  <c r="G25" i="1"/>
  <c r="G26" i="1"/>
  <c r="G27" i="1"/>
  <c r="P27" i="1" s="1"/>
  <c r="Q27" i="1" s="1"/>
  <c r="G28" i="1"/>
  <c r="G29" i="1"/>
  <c r="P29" i="1" s="1"/>
  <c r="Q29" i="1" s="1"/>
  <c r="G30" i="1"/>
  <c r="P30" i="1" s="1"/>
  <c r="Q30" i="1" s="1"/>
  <c r="G31" i="1"/>
  <c r="G32" i="1"/>
  <c r="G33" i="1"/>
  <c r="P33" i="1" s="1"/>
  <c r="Q33" i="1" s="1"/>
  <c r="G34" i="1"/>
  <c r="G35" i="1"/>
  <c r="P35" i="1" s="1"/>
  <c r="Q35" i="1" s="1"/>
  <c r="G36" i="1"/>
  <c r="P36" i="1" s="1"/>
  <c r="Q36" i="1" s="1"/>
  <c r="G37" i="1"/>
  <c r="G38" i="1"/>
  <c r="G39" i="1"/>
  <c r="P39" i="1" s="1"/>
  <c r="Q39" i="1" s="1"/>
  <c r="G40" i="1"/>
  <c r="G41" i="1"/>
  <c r="P41" i="1" s="1"/>
  <c r="Q41" i="1" s="1"/>
  <c r="G42" i="1"/>
  <c r="P42" i="1" s="1"/>
  <c r="Q42" i="1" s="1"/>
  <c r="G43" i="1"/>
  <c r="G44" i="1"/>
  <c r="G45" i="1"/>
  <c r="P45" i="1" s="1"/>
  <c r="Q45" i="1" s="1"/>
  <c r="G46" i="1"/>
  <c r="G47" i="1"/>
  <c r="P47" i="1" s="1"/>
  <c r="Q47" i="1" s="1"/>
  <c r="G48" i="1"/>
  <c r="P48" i="1" s="1"/>
  <c r="Q48" i="1" s="1"/>
  <c r="G49" i="1"/>
  <c r="G50" i="1"/>
  <c r="G2" i="1"/>
  <c r="P2" i="1" s="1"/>
  <c r="Q2" i="1" s="1"/>
  <c r="P49" i="1" l="1"/>
  <c r="Q49" i="1" s="1"/>
  <c r="P37" i="1"/>
  <c r="Q37" i="1" s="1"/>
  <c r="P25" i="1"/>
  <c r="Q25" i="1" s="1"/>
  <c r="P13" i="1"/>
  <c r="Q13" i="1" s="1"/>
  <c r="P46" i="1"/>
  <c r="Q46" i="1" s="1"/>
  <c r="P34" i="1"/>
  <c r="Q34" i="1" s="1"/>
  <c r="P22" i="1"/>
  <c r="Q22" i="1" s="1"/>
  <c r="P10" i="1"/>
  <c r="Q10" i="1" s="1"/>
  <c r="P44" i="1"/>
  <c r="Q44" i="1" s="1"/>
  <c r="P32" i="1"/>
  <c r="Q32" i="1" s="1"/>
  <c r="P20" i="1"/>
  <c r="Q20" i="1" s="1"/>
  <c r="P8" i="1"/>
  <c r="Q8" i="1" s="1"/>
  <c r="P43" i="1"/>
  <c r="Q43" i="1" s="1"/>
  <c r="P31" i="1"/>
  <c r="Q31" i="1" s="1"/>
  <c r="P19" i="1"/>
  <c r="Q19" i="1" s="1"/>
  <c r="P7" i="1"/>
  <c r="Q7" i="1" s="1"/>
  <c r="P5" i="1"/>
  <c r="Q5" i="1" s="1"/>
  <c r="P40" i="1"/>
  <c r="Q40" i="1" s="1"/>
  <c r="P28" i="1"/>
  <c r="Q28" i="1" s="1"/>
  <c r="P16" i="1"/>
  <c r="Q16" i="1" s="1"/>
  <c r="P50" i="1"/>
  <c r="Q50" i="1" s="1"/>
  <c r="P38" i="1"/>
  <c r="Q38" i="1" s="1"/>
  <c r="P26" i="1"/>
  <c r="Q26" i="1" s="1"/>
  <c r="P14" i="1"/>
  <c r="Q14" i="1" s="1"/>
</calcChain>
</file>

<file path=xl/sharedStrings.xml><?xml version="1.0" encoding="utf-8"?>
<sst xmlns="http://schemas.openxmlformats.org/spreadsheetml/2006/main" count="660" uniqueCount="219">
  <si>
    <t>25-0384</t>
  </si>
  <si>
    <t>Abaton</t>
  </si>
  <si>
    <t>Sania</t>
  </si>
  <si>
    <t>Maontol</t>
  </si>
  <si>
    <t>25-0354</t>
  </si>
  <si>
    <t>Agustino</t>
  </si>
  <si>
    <t>Julian</t>
  </si>
  <si>
    <t>Salimbot</t>
  </si>
  <si>
    <t>25-0386</t>
  </si>
  <si>
    <t>Alban</t>
  </si>
  <si>
    <t>Carl Andrie</t>
  </si>
  <si>
    <t>Bravo</t>
  </si>
  <si>
    <t>25-0323</t>
  </si>
  <si>
    <t>Alcantara</t>
  </si>
  <si>
    <t>George Harold</t>
  </si>
  <si>
    <t>Ayson</t>
  </si>
  <si>
    <t>25-0362</t>
  </si>
  <si>
    <t>Alima</t>
  </si>
  <si>
    <t>Ashley Nicole</t>
  </si>
  <si>
    <t>Tangonan</t>
  </si>
  <si>
    <t>25-0369</t>
  </si>
  <si>
    <t>Angeles</t>
  </si>
  <si>
    <t>Ron Paulo</t>
  </si>
  <si>
    <t>Gutierrez</t>
  </si>
  <si>
    <t>25-0397</t>
  </si>
  <si>
    <t>Baldoza</t>
  </si>
  <si>
    <t>Jasmien</t>
  </si>
  <si>
    <t>Narito</t>
  </si>
  <si>
    <t>25-0396</t>
  </si>
  <si>
    <t>Basijan</t>
  </si>
  <si>
    <t>Mark Justine</t>
  </si>
  <si>
    <t>Belicario</t>
  </si>
  <si>
    <t>25-0367</t>
  </si>
  <si>
    <t>Bautista</t>
  </si>
  <si>
    <t>Rod Mark</t>
  </si>
  <si>
    <t>Pineda</t>
  </si>
  <si>
    <t>25-0377</t>
  </si>
  <si>
    <t>Bayles</t>
  </si>
  <si>
    <t>Divine Grace</t>
  </si>
  <si>
    <t>Amador</t>
  </si>
  <si>
    <t>25-0372</t>
  </si>
  <si>
    <t>Buenaflor</t>
  </si>
  <si>
    <t>Ashley Marriana</t>
  </si>
  <si>
    <t>Aure</t>
  </si>
  <si>
    <t>25-0356</t>
  </si>
  <si>
    <t>Cabauatan</t>
  </si>
  <si>
    <t>Gian Carlo</t>
  </si>
  <si>
    <t>Angolluan</t>
  </si>
  <si>
    <t>25-0394</t>
  </si>
  <si>
    <t>Calangian</t>
  </si>
  <si>
    <t xml:space="preserve">Matthew Dane </t>
  </si>
  <si>
    <t>De Guzman</t>
  </si>
  <si>
    <t>25-0374</t>
  </si>
  <si>
    <t>Canada</t>
  </si>
  <si>
    <t>Angel Erica</t>
  </si>
  <si>
    <t>Velasco</t>
  </si>
  <si>
    <t>25-0371</t>
  </si>
  <si>
    <t>Candelario</t>
  </si>
  <si>
    <t>Zachary Benidict</t>
  </si>
  <si>
    <t>Emano</t>
  </si>
  <si>
    <t>25-0357</t>
  </si>
  <si>
    <t>Casapao</t>
  </si>
  <si>
    <t>Michael Marc</t>
  </si>
  <si>
    <t>Borale</t>
  </si>
  <si>
    <t>25-0358</t>
  </si>
  <si>
    <t>CASAS</t>
  </si>
  <si>
    <t>BRENT PIERRE</t>
  </si>
  <si>
    <t>NAZARET</t>
  </si>
  <si>
    <t>25-0391</t>
  </si>
  <si>
    <t>Compit</t>
  </si>
  <si>
    <t>Kevin</t>
  </si>
  <si>
    <t>Lagonilla</t>
  </si>
  <si>
    <t>25-0389</t>
  </si>
  <si>
    <t>Corpuz</t>
  </si>
  <si>
    <t>Vincent</t>
  </si>
  <si>
    <t>Benlayo</t>
  </si>
  <si>
    <t>25-0398</t>
  </si>
  <si>
    <t>Dagcutan</t>
  </si>
  <si>
    <t>Christian Lloyd</t>
  </si>
  <si>
    <t>Jose</t>
  </si>
  <si>
    <t>25-0393</t>
  </si>
  <si>
    <t>Dayrit</t>
  </si>
  <si>
    <t>Axzel Januz</t>
  </si>
  <si>
    <t>Badong</t>
  </si>
  <si>
    <t>25-0370</t>
  </si>
  <si>
    <t>Elmido</t>
  </si>
  <si>
    <t>Sophia</t>
  </si>
  <si>
    <t>Balatayo</t>
  </si>
  <si>
    <t>25-0390</t>
  </si>
  <si>
    <t>Feliciano</t>
  </si>
  <si>
    <t>Neciforo Ezekeil</t>
  </si>
  <si>
    <t>Paradiang</t>
  </si>
  <si>
    <t>25-0355</t>
  </si>
  <si>
    <t>Fernandez</t>
  </si>
  <si>
    <t>Elliya Nicholai</t>
  </si>
  <si>
    <t>25-0365</t>
  </si>
  <si>
    <t>Galve</t>
  </si>
  <si>
    <t>Skyee</t>
  </si>
  <si>
    <t>Sucgang</t>
  </si>
  <si>
    <t>25-0385</t>
  </si>
  <si>
    <t>Gavino</t>
  </si>
  <si>
    <t>Carl Russel Hubert</t>
  </si>
  <si>
    <t>Delos Reyes</t>
  </si>
  <si>
    <t>25-0373</t>
  </si>
  <si>
    <t>Geturbos</t>
  </si>
  <si>
    <t>Angel Grace</t>
  </si>
  <si>
    <t>Tupaz</t>
  </si>
  <si>
    <t>25-0378</t>
  </si>
  <si>
    <t>Icaro</t>
  </si>
  <si>
    <t>John Roswell</t>
  </si>
  <si>
    <t>Recto</t>
  </si>
  <si>
    <t>25-0351</t>
  </si>
  <si>
    <t>Jariel</t>
  </si>
  <si>
    <t>Aldrin Miguel</t>
  </si>
  <si>
    <t>Alipao</t>
  </si>
  <si>
    <t>25-0376</t>
  </si>
  <si>
    <t>Lozano</t>
  </si>
  <si>
    <t>Marlon jhay</t>
  </si>
  <si>
    <t>25-0335</t>
  </si>
  <si>
    <t>Mamot</t>
  </si>
  <si>
    <t>Paulyn angel</t>
  </si>
  <si>
    <t>Talens</t>
  </si>
  <si>
    <t>25-0353</t>
  </si>
  <si>
    <t>Masula</t>
  </si>
  <si>
    <t>John Arnel</t>
  </si>
  <si>
    <t>Rosello</t>
  </si>
  <si>
    <t>25-0368</t>
  </si>
  <si>
    <t>Minaves</t>
  </si>
  <si>
    <t>Raxell Alshane</t>
  </si>
  <si>
    <t>Gomez</t>
  </si>
  <si>
    <t>25-0366</t>
  </si>
  <si>
    <t>Mukaddis</t>
  </si>
  <si>
    <t>Hanna Raiza</t>
  </si>
  <si>
    <t>Cea</t>
  </si>
  <si>
    <t>25-0383</t>
  </si>
  <si>
    <t>Nuqui</t>
  </si>
  <si>
    <t>Donzel Ashvik Journery</t>
  </si>
  <si>
    <t>Cornelio</t>
  </si>
  <si>
    <t>25-0392</t>
  </si>
  <si>
    <t>Orillaneda</t>
  </si>
  <si>
    <t>Ciljohn</t>
  </si>
  <si>
    <t>Norombaba</t>
  </si>
  <si>
    <t>25-0361</t>
  </si>
  <si>
    <t>Pasumala</t>
  </si>
  <si>
    <t>Paul</t>
  </si>
  <si>
    <t>Parahile</t>
  </si>
  <si>
    <t>25-0363</t>
  </si>
  <si>
    <t>Perez</t>
  </si>
  <si>
    <t>John Cristhoper</t>
  </si>
  <si>
    <t>Alarcon</t>
  </si>
  <si>
    <t>25-0388</t>
  </si>
  <si>
    <t>Poscablo</t>
  </si>
  <si>
    <t>Nicole Angela</t>
  </si>
  <si>
    <t>San Juan</t>
  </si>
  <si>
    <t>25-0382</t>
  </si>
  <si>
    <t>Quilos</t>
  </si>
  <si>
    <t>Jan Gerald</t>
  </si>
  <si>
    <t xml:space="preserve">Almenario </t>
  </si>
  <si>
    <t>25-0360</t>
  </si>
  <si>
    <t>Roxas</t>
  </si>
  <si>
    <t>Danielle Suzine</t>
  </si>
  <si>
    <t>Mayor</t>
  </si>
  <si>
    <t>25-0387</t>
  </si>
  <si>
    <t>Salcedo</t>
  </si>
  <si>
    <t>James Dominic</t>
  </si>
  <si>
    <t>Timbang</t>
  </si>
  <si>
    <t>25-0364</t>
  </si>
  <si>
    <t>Saringan</t>
  </si>
  <si>
    <t>Jomar</t>
  </si>
  <si>
    <t>Biol</t>
  </si>
  <si>
    <t>25-0380</t>
  </si>
  <si>
    <t>Tiangco</t>
  </si>
  <si>
    <t>Lienos Ulysi</t>
  </si>
  <si>
    <t>Que</t>
  </si>
  <si>
    <t>25-0352</t>
  </si>
  <si>
    <t>Tiro</t>
  </si>
  <si>
    <t>Juliana Shane</t>
  </si>
  <si>
    <t>Vista</t>
  </si>
  <si>
    <t>25-0375</t>
  </si>
  <si>
    <t>Toca</t>
  </si>
  <si>
    <t>Aldrich</t>
  </si>
  <si>
    <t>Arellano</t>
  </si>
  <si>
    <t>25-0399</t>
  </si>
  <si>
    <t>Tucay</t>
  </si>
  <si>
    <t>Ivan Lee</t>
  </si>
  <si>
    <t>Jeresano</t>
  </si>
  <si>
    <t>25-0359</t>
  </si>
  <si>
    <t>Valdez</t>
  </si>
  <si>
    <t>Ma. Nikki</t>
  </si>
  <si>
    <t>Familara</t>
  </si>
  <si>
    <t>24-2837</t>
  </si>
  <si>
    <t>Victorino</t>
  </si>
  <si>
    <t>Irish</t>
  </si>
  <si>
    <t>Bantoc</t>
  </si>
  <si>
    <t>Student Number</t>
  </si>
  <si>
    <t>Lastname</t>
  </si>
  <si>
    <t>First name</t>
  </si>
  <si>
    <t>Middle Name</t>
  </si>
  <si>
    <t>LAB # 1</t>
  </si>
  <si>
    <t>LAB # 2</t>
  </si>
  <si>
    <t xml:space="preserve">SW#1 </t>
  </si>
  <si>
    <t>SW#2</t>
  </si>
  <si>
    <t>Present</t>
  </si>
  <si>
    <t>Holiday</t>
  </si>
  <si>
    <t>Absent</t>
  </si>
  <si>
    <t>HW#1</t>
  </si>
  <si>
    <t>HW#2</t>
  </si>
  <si>
    <t>Quiz # 1</t>
  </si>
  <si>
    <t>Quiz # 2</t>
  </si>
  <si>
    <t>CS</t>
  </si>
  <si>
    <t>LAB (T) 20%</t>
  </si>
  <si>
    <t>Class Activity (15%)</t>
  </si>
  <si>
    <t>Quiz (T) 25%</t>
  </si>
  <si>
    <t>CS Input (60%)</t>
  </si>
  <si>
    <t>Midterm Exam</t>
  </si>
  <si>
    <t>Midterm Exam Input (40%)</t>
  </si>
  <si>
    <t>Midterm Grade</t>
  </si>
  <si>
    <t>Remarks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</si>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</sst>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7" fontId="2" fillId="2" borderId="1" xfId="0" applyNumberFormat="1" applyFont="1" applyFill="1" applyBorder="1"/>
    <xf numFmtId="17" fontId="2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2D5A-7979-4206-9149-20D6C6D19D3A}">
  <dimension ref="A1:U50"/>
  <sheetViews>
    <sheetView tabSelected="1" topLeftCell="D1" workbookViewId="0">
      <selection activeCell="W18" sqref="W18"/>
    </sheetView>
  </sheetViews>
  <sheetFormatPr defaultRowHeight="14.4" x14ac:dyDescent="0.3"/>
  <cols>
    <col min="1" max="1" width="14.77734375" style="1" bestFit="1" customWidth="1"/>
    <col min="2" max="2" width="9.77734375" style="1" bestFit="1" customWidth="1"/>
    <col min="3" max="3" width="19.21875" style="1" bestFit="1" customWidth="1"/>
    <col min="4" max="4" width="12.109375" style="1" bestFit="1" customWidth="1"/>
    <col min="5" max="6" width="6.77734375" style="1" bestFit="1" customWidth="1"/>
    <col min="7" max="7" width="10.5546875" style="1" bestFit="1" customWidth="1"/>
    <col min="8" max="8" width="6.109375" style="1" bestFit="1" customWidth="1"/>
    <col min="9" max="9" width="5.77734375" style="1" bestFit="1" customWidth="1"/>
    <col min="10" max="11" width="6" style="1" bestFit="1" customWidth="1"/>
    <col min="12" max="12" width="17.6640625" style="1" bestFit="1" customWidth="1"/>
    <col min="13" max="14" width="7.44140625" style="1" bestFit="1" customWidth="1"/>
    <col min="15" max="15" width="12" style="1" bestFit="1" customWidth="1"/>
    <col min="16" max="16" width="6.77734375" customWidth="1"/>
    <col min="17" max="17" width="13.33203125" bestFit="1" customWidth="1"/>
    <col min="18" max="18" width="13.109375" style="1" bestFit="1" customWidth="1"/>
    <col min="19" max="19" width="23.21875" style="1" bestFit="1" customWidth="1"/>
    <col min="20" max="20" width="13.6640625" style="1" bestFit="1" customWidth="1"/>
    <col min="21" max="21" width="8.88671875" style="1"/>
  </cols>
  <sheetData>
    <row r="1" spans="1:21" x14ac:dyDescent="0.3">
      <c r="A1" s="4" t="s">
        <v>194</v>
      </c>
      <c r="B1" s="5" t="s">
        <v>195</v>
      </c>
      <c r="C1" s="5" t="s">
        <v>196</v>
      </c>
      <c r="D1" s="5" t="s">
        <v>197</v>
      </c>
      <c r="E1" s="5" t="s">
        <v>198</v>
      </c>
      <c r="F1" s="5" t="s">
        <v>199</v>
      </c>
      <c r="G1" s="5" t="s">
        <v>210</v>
      </c>
      <c r="H1" s="5" t="s">
        <v>200</v>
      </c>
      <c r="I1" s="5" t="s">
        <v>201</v>
      </c>
      <c r="J1" s="5" t="s">
        <v>205</v>
      </c>
      <c r="K1" s="5" t="s">
        <v>206</v>
      </c>
      <c r="L1" s="9" t="s">
        <v>211</v>
      </c>
      <c r="M1" s="5" t="s">
        <v>207</v>
      </c>
      <c r="N1" s="5" t="s">
        <v>208</v>
      </c>
      <c r="O1" s="5" t="s">
        <v>212</v>
      </c>
      <c r="P1" s="5" t="s">
        <v>209</v>
      </c>
      <c r="Q1" s="5" t="s">
        <v>213</v>
      </c>
      <c r="R1" s="5" t="s">
        <v>214</v>
      </c>
      <c r="S1" s="5" t="s">
        <v>215</v>
      </c>
      <c r="T1" s="9" t="s">
        <v>216</v>
      </c>
      <c r="U1" s="5" t="s">
        <v>217</v>
      </c>
    </row>
    <row r="2" spans="1:21" x14ac:dyDescent="0.3">
      <c r="A2" s="3" t="s">
        <v>0</v>
      </c>
      <c r="B2" s="2" t="s">
        <v>1</v>
      </c>
      <c r="C2" s="2" t="s">
        <v>2</v>
      </c>
      <c r="D2" s="2" t="s">
        <v>3</v>
      </c>
      <c r="E2" s="2">
        <v>100</v>
      </c>
      <c r="F2" s="2">
        <v>100</v>
      </c>
      <c r="G2" s="2">
        <f>((E2+F2)/2)</f>
        <v>100</v>
      </c>
      <c r="H2" s="2">
        <v>20</v>
      </c>
      <c r="I2" s="2">
        <v>25</v>
      </c>
      <c r="J2" s="10">
        <v>20</v>
      </c>
      <c r="K2" s="10">
        <v>20</v>
      </c>
      <c r="L2" s="2">
        <f>((H2+I2+J2+K2)/85)*50+50</f>
        <v>100</v>
      </c>
      <c r="M2" s="2">
        <v>0</v>
      </c>
      <c r="N2" s="10">
        <v>30</v>
      </c>
      <c r="O2" s="2">
        <f>((M2+N2)/70)*50+50</f>
        <v>71.428571428571431</v>
      </c>
      <c r="P2" s="2">
        <f>((G2*0.2)+((L2*0.15)+((O2*0.25))))</f>
        <v>52.857142857142861</v>
      </c>
      <c r="Q2" s="2">
        <f>((P2/0.6))</f>
        <v>88.095238095238102</v>
      </c>
      <c r="R2" s="2">
        <v>45</v>
      </c>
      <c r="S2" s="2">
        <f>((R2/50)*50+50)</f>
        <v>95</v>
      </c>
      <c r="T2" s="2">
        <f>((Q2*0.6)+((S2*0.4)))</f>
        <v>90.857142857142861</v>
      </c>
      <c r="U2" s="2" t="s">
        <v>218</v>
      </c>
    </row>
    <row r="3" spans="1:21" x14ac:dyDescent="0.3">
      <c r="A3" s="3" t="s">
        <v>4</v>
      </c>
      <c r="B3" s="2" t="s">
        <v>5</v>
      </c>
      <c r="C3" s="2" t="s">
        <v>6</v>
      </c>
      <c r="D3" s="2" t="s">
        <v>7</v>
      </c>
      <c r="E3" s="2">
        <v>100</v>
      </c>
      <c r="F3" s="2">
        <v>100</v>
      </c>
      <c r="G3" s="2">
        <f t="shared" ref="G3:G50" si="0">((E3+F3)/2)</f>
        <v>100</v>
      </c>
      <c r="H3" s="2">
        <v>20</v>
      </c>
      <c r="I3" s="2">
        <v>25</v>
      </c>
      <c r="J3" s="10">
        <v>20</v>
      </c>
      <c r="K3" s="10">
        <v>20</v>
      </c>
      <c r="L3" s="2">
        <f t="shared" ref="L3:L50" si="1">((H3+I3+J3+K3)/85)*50+50</f>
        <v>100</v>
      </c>
      <c r="M3" s="10">
        <v>33</v>
      </c>
      <c r="N3" s="10">
        <v>30</v>
      </c>
      <c r="O3" s="2">
        <f t="shared" ref="O3:O50" si="2">((M3+N3)/70)*50+50</f>
        <v>95</v>
      </c>
      <c r="P3" s="2">
        <f t="shared" ref="P3:P50" si="3">((G3*0.2)+((L3*0.15)+((O3*0.25))))</f>
        <v>58.75</v>
      </c>
      <c r="Q3" s="2">
        <f t="shared" ref="Q3:Q50" si="4">((P3/0.6))</f>
        <v>97.916666666666671</v>
      </c>
      <c r="R3" s="2">
        <v>49</v>
      </c>
      <c r="S3" s="2">
        <f t="shared" ref="S3:S50" si="5">((R3/50)*50+50)</f>
        <v>99</v>
      </c>
      <c r="T3" s="2">
        <f t="shared" ref="T3:T50" si="6">((Q3*0.6)+((S3*0.4)))</f>
        <v>98.35</v>
      </c>
      <c r="U3" s="2" t="s">
        <v>218</v>
      </c>
    </row>
    <row r="4" spans="1:21" x14ac:dyDescent="0.3">
      <c r="A4" s="3" t="s">
        <v>8</v>
      </c>
      <c r="B4" s="2" t="s">
        <v>9</v>
      </c>
      <c r="C4" s="2" t="s">
        <v>10</v>
      </c>
      <c r="D4" s="2" t="s">
        <v>11</v>
      </c>
      <c r="E4" s="2">
        <v>100</v>
      </c>
      <c r="F4" s="2">
        <v>100</v>
      </c>
      <c r="G4" s="2">
        <f t="shared" si="0"/>
        <v>100</v>
      </c>
      <c r="H4" s="2">
        <v>20</v>
      </c>
      <c r="I4" s="2">
        <v>25</v>
      </c>
      <c r="J4" s="10">
        <v>0</v>
      </c>
      <c r="K4" s="10">
        <v>0</v>
      </c>
      <c r="L4" s="2">
        <f t="shared" si="1"/>
        <v>76.470588235294116</v>
      </c>
      <c r="M4" s="10">
        <v>35</v>
      </c>
      <c r="N4" s="10">
        <v>30</v>
      </c>
      <c r="O4" s="2">
        <f t="shared" si="2"/>
        <v>96.428571428571431</v>
      </c>
      <c r="P4" s="2">
        <f t="shared" si="3"/>
        <v>55.577731092436977</v>
      </c>
      <c r="Q4" s="2">
        <f t="shared" si="4"/>
        <v>92.629551820728295</v>
      </c>
      <c r="R4" s="2">
        <v>50</v>
      </c>
      <c r="S4" s="2">
        <f t="shared" si="5"/>
        <v>100</v>
      </c>
      <c r="T4" s="2">
        <f t="shared" si="6"/>
        <v>95.577731092436977</v>
      </c>
      <c r="U4" s="2" t="s">
        <v>218</v>
      </c>
    </row>
    <row r="5" spans="1:21" x14ac:dyDescent="0.3">
      <c r="A5" s="3" t="s">
        <v>12</v>
      </c>
      <c r="B5" s="2" t="s">
        <v>13</v>
      </c>
      <c r="C5" s="2" t="s">
        <v>14</v>
      </c>
      <c r="D5" s="2" t="s">
        <v>15</v>
      </c>
      <c r="E5" s="2">
        <v>100</v>
      </c>
      <c r="F5" s="2">
        <v>100</v>
      </c>
      <c r="G5" s="2">
        <f t="shared" si="0"/>
        <v>100</v>
      </c>
      <c r="H5" s="2">
        <v>20</v>
      </c>
      <c r="I5" s="2">
        <v>25</v>
      </c>
      <c r="J5" s="10">
        <v>20</v>
      </c>
      <c r="K5" s="10">
        <v>20</v>
      </c>
      <c r="L5" s="2">
        <f t="shared" si="1"/>
        <v>100</v>
      </c>
      <c r="M5" s="10">
        <v>40</v>
      </c>
      <c r="N5" s="10">
        <v>30</v>
      </c>
      <c r="O5" s="2">
        <f t="shared" si="2"/>
        <v>100</v>
      </c>
      <c r="P5" s="2">
        <f t="shared" si="3"/>
        <v>60</v>
      </c>
      <c r="Q5" s="2">
        <f t="shared" si="4"/>
        <v>100</v>
      </c>
      <c r="R5" s="2">
        <v>45</v>
      </c>
      <c r="S5" s="2">
        <f t="shared" si="5"/>
        <v>95</v>
      </c>
      <c r="T5" s="2">
        <f t="shared" si="6"/>
        <v>98</v>
      </c>
      <c r="U5" s="2" t="s">
        <v>218</v>
      </c>
    </row>
    <row r="6" spans="1:21" x14ac:dyDescent="0.3">
      <c r="A6" s="3" t="s">
        <v>16</v>
      </c>
      <c r="B6" s="2" t="s">
        <v>17</v>
      </c>
      <c r="C6" s="2" t="s">
        <v>18</v>
      </c>
      <c r="D6" s="2" t="s">
        <v>19</v>
      </c>
      <c r="E6" s="2">
        <v>100</v>
      </c>
      <c r="F6" s="2">
        <v>88</v>
      </c>
      <c r="G6" s="2">
        <f t="shared" si="0"/>
        <v>94</v>
      </c>
      <c r="H6" s="2">
        <v>20</v>
      </c>
      <c r="I6" s="2">
        <v>22</v>
      </c>
      <c r="J6" s="10">
        <v>20</v>
      </c>
      <c r="K6" s="10">
        <v>20</v>
      </c>
      <c r="L6" s="2">
        <f t="shared" si="1"/>
        <v>98.235294117647058</v>
      </c>
      <c r="M6" s="10">
        <v>34</v>
      </c>
      <c r="N6" s="10">
        <v>30</v>
      </c>
      <c r="O6" s="2">
        <f t="shared" si="2"/>
        <v>95.714285714285722</v>
      </c>
      <c r="P6" s="2">
        <f t="shared" si="3"/>
        <v>57.463865546218486</v>
      </c>
      <c r="Q6" s="2">
        <f t="shared" si="4"/>
        <v>95.773109243697476</v>
      </c>
      <c r="R6" s="2">
        <v>50</v>
      </c>
      <c r="S6" s="2">
        <f t="shared" si="5"/>
        <v>100</v>
      </c>
      <c r="T6" s="2">
        <f t="shared" si="6"/>
        <v>97.463865546218486</v>
      </c>
      <c r="U6" s="2" t="s">
        <v>218</v>
      </c>
    </row>
    <row r="7" spans="1:21" x14ac:dyDescent="0.3">
      <c r="A7" s="3" t="s">
        <v>20</v>
      </c>
      <c r="B7" s="2" t="s">
        <v>21</v>
      </c>
      <c r="C7" s="2" t="s">
        <v>22</v>
      </c>
      <c r="D7" s="2" t="s">
        <v>23</v>
      </c>
      <c r="E7" s="2">
        <v>100</v>
      </c>
      <c r="F7" s="2">
        <v>100</v>
      </c>
      <c r="G7" s="2">
        <f t="shared" si="0"/>
        <v>100</v>
      </c>
      <c r="H7" s="2">
        <v>20</v>
      </c>
      <c r="I7" s="2">
        <v>25</v>
      </c>
      <c r="J7" s="10">
        <v>20</v>
      </c>
      <c r="K7" s="10">
        <v>20</v>
      </c>
      <c r="L7" s="2">
        <f t="shared" si="1"/>
        <v>100</v>
      </c>
      <c r="M7" s="10">
        <v>35</v>
      </c>
      <c r="N7" s="10">
        <v>30</v>
      </c>
      <c r="O7" s="2">
        <f t="shared" si="2"/>
        <v>96.428571428571431</v>
      </c>
      <c r="P7" s="2">
        <f t="shared" si="3"/>
        <v>59.107142857142861</v>
      </c>
      <c r="Q7" s="2">
        <f t="shared" si="4"/>
        <v>98.511904761904773</v>
      </c>
      <c r="R7" s="2">
        <v>50</v>
      </c>
      <c r="S7" s="2">
        <f t="shared" si="5"/>
        <v>100</v>
      </c>
      <c r="T7" s="2">
        <f t="shared" si="6"/>
        <v>99.107142857142861</v>
      </c>
      <c r="U7" s="2" t="s">
        <v>218</v>
      </c>
    </row>
    <row r="8" spans="1:21" x14ac:dyDescent="0.3">
      <c r="A8" s="3" t="s">
        <v>24</v>
      </c>
      <c r="B8" s="2" t="s">
        <v>25</v>
      </c>
      <c r="C8" s="2" t="s">
        <v>26</v>
      </c>
      <c r="D8" s="2" t="s">
        <v>27</v>
      </c>
      <c r="E8" s="2">
        <v>100</v>
      </c>
      <c r="F8" s="2">
        <v>100</v>
      </c>
      <c r="G8" s="2">
        <f t="shared" si="0"/>
        <v>100</v>
      </c>
      <c r="H8" s="2">
        <v>20</v>
      </c>
      <c r="I8" s="2">
        <v>25</v>
      </c>
      <c r="J8" s="10">
        <v>20</v>
      </c>
      <c r="K8" s="10">
        <v>20</v>
      </c>
      <c r="L8" s="2">
        <f t="shared" si="1"/>
        <v>100</v>
      </c>
      <c r="M8" s="10">
        <v>40</v>
      </c>
      <c r="N8" s="10">
        <v>25</v>
      </c>
      <c r="O8" s="2">
        <f t="shared" si="2"/>
        <v>96.428571428571431</v>
      </c>
      <c r="P8" s="2">
        <f t="shared" si="3"/>
        <v>59.107142857142861</v>
      </c>
      <c r="Q8" s="2">
        <f t="shared" si="4"/>
        <v>98.511904761904773</v>
      </c>
      <c r="R8" s="2">
        <v>45</v>
      </c>
      <c r="S8" s="2">
        <f t="shared" si="5"/>
        <v>95</v>
      </c>
      <c r="T8" s="2">
        <f t="shared" si="6"/>
        <v>97.107142857142861</v>
      </c>
      <c r="U8" s="2" t="s">
        <v>218</v>
      </c>
    </row>
    <row r="9" spans="1:21" x14ac:dyDescent="0.3">
      <c r="A9" s="3" t="s">
        <v>28</v>
      </c>
      <c r="B9" s="2" t="s">
        <v>29</v>
      </c>
      <c r="C9" s="2" t="s">
        <v>30</v>
      </c>
      <c r="D9" s="2" t="s">
        <v>31</v>
      </c>
      <c r="E9" s="2">
        <v>100</v>
      </c>
      <c r="F9" s="2">
        <v>88</v>
      </c>
      <c r="G9" s="2">
        <f t="shared" si="0"/>
        <v>94</v>
      </c>
      <c r="H9" s="2">
        <v>20</v>
      </c>
      <c r="I9" s="2">
        <v>22</v>
      </c>
      <c r="J9" s="10">
        <v>20</v>
      </c>
      <c r="K9" s="10">
        <v>20</v>
      </c>
      <c r="L9" s="2">
        <f t="shared" si="1"/>
        <v>98.235294117647058</v>
      </c>
      <c r="M9" s="10">
        <v>35</v>
      </c>
      <c r="N9" s="10">
        <v>30</v>
      </c>
      <c r="O9" s="2">
        <f t="shared" si="2"/>
        <v>96.428571428571431</v>
      </c>
      <c r="P9" s="2">
        <f t="shared" si="3"/>
        <v>57.642436974789916</v>
      </c>
      <c r="Q9" s="2">
        <f t="shared" si="4"/>
        <v>96.070728291316527</v>
      </c>
      <c r="R9" s="2">
        <v>45</v>
      </c>
      <c r="S9" s="2">
        <f t="shared" si="5"/>
        <v>95</v>
      </c>
      <c r="T9" s="2">
        <f t="shared" si="6"/>
        <v>95.642436974789916</v>
      </c>
      <c r="U9" s="2" t="s">
        <v>218</v>
      </c>
    </row>
    <row r="10" spans="1:21" x14ac:dyDescent="0.3">
      <c r="A10" s="3" t="s">
        <v>32</v>
      </c>
      <c r="B10" s="2" t="s">
        <v>33</v>
      </c>
      <c r="C10" s="2" t="s">
        <v>34</v>
      </c>
      <c r="D10" s="2" t="s">
        <v>35</v>
      </c>
      <c r="E10" s="2">
        <v>100</v>
      </c>
      <c r="F10" s="2">
        <v>100</v>
      </c>
      <c r="G10" s="2">
        <f t="shared" si="0"/>
        <v>100</v>
      </c>
      <c r="H10" s="2">
        <v>20</v>
      </c>
      <c r="I10" s="2">
        <v>25</v>
      </c>
      <c r="J10" s="10">
        <v>20</v>
      </c>
      <c r="K10" s="10">
        <v>20</v>
      </c>
      <c r="L10" s="2">
        <f t="shared" si="1"/>
        <v>100</v>
      </c>
      <c r="M10" s="10">
        <v>38</v>
      </c>
      <c r="N10" s="10">
        <v>30</v>
      </c>
      <c r="O10" s="2">
        <f t="shared" si="2"/>
        <v>98.571428571428569</v>
      </c>
      <c r="P10" s="2">
        <f t="shared" si="3"/>
        <v>59.642857142857139</v>
      </c>
      <c r="Q10" s="2">
        <f t="shared" si="4"/>
        <v>99.404761904761898</v>
      </c>
      <c r="R10" s="2">
        <v>50</v>
      </c>
      <c r="S10" s="2">
        <f t="shared" si="5"/>
        <v>100</v>
      </c>
      <c r="T10" s="2">
        <f t="shared" si="6"/>
        <v>99.642857142857139</v>
      </c>
      <c r="U10" s="2" t="s">
        <v>218</v>
      </c>
    </row>
    <row r="11" spans="1:21" x14ac:dyDescent="0.3">
      <c r="A11" s="3" t="s">
        <v>36</v>
      </c>
      <c r="B11" s="2" t="s">
        <v>37</v>
      </c>
      <c r="C11" s="2" t="s">
        <v>38</v>
      </c>
      <c r="D11" s="2" t="s">
        <v>39</v>
      </c>
      <c r="E11" s="2">
        <v>100</v>
      </c>
      <c r="F11" s="2">
        <v>100</v>
      </c>
      <c r="G11" s="2">
        <f t="shared" si="0"/>
        <v>100</v>
      </c>
      <c r="H11" s="2">
        <v>20</v>
      </c>
      <c r="I11" s="2">
        <v>25</v>
      </c>
      <c r="J11" s="10">
        <v>20</v>
      </c>
      <c r="K11" s="10">
        <v>20</v>
      </c>
      <c r="L11" s="2">
        <f t="shared" si="1"/>
        <v>100</v>
      </c>
      <c r="M11" s="10">
        <v>40</v>
      </c>
      <c r="N11" s="10">
        <v>30</v>
      </c>
      <c r="O11" s="2">
        <f t="shared" si="2"/>
        <v>100</v>
      </c>
      <c r="P11" s="2">
        <f t="shared" si="3"/>
        <v>60</v>
      </c>
      <c r="Q11" s="2">
        <f t="shared" si="4"/>
        <v>100</v>
      </c>
      <c r="R11" s="2">
        <v>48</v>
      </c>
      <c r="S11" s="2">
        <f t="shared" si="5"/>
        <v>98</v>
      </c>
      <c r="T11" s="2">
        <f t="shared" si="6"/>
        <v>99.2</v>
      </c>
      <c r="U11" s="2" t="s">
        <v>218</v>
      </c>
    </row>
    <row r="12" spans="1:21" x14ac:dyDescent="0.3">
      <c r="A12" s="3" t="s">
        <v>40</v>
      </c>
      <c r="B12" s="2" t="s">
        <v>41</v>
      </c>
      <c r="C12" s="2" t="s">
        <v>42</v>
      </c>
      <c r="D12" s="2" t="s">
        <v>43</v>
      </c>
      <c r="E12" s="2">
        <v>100</v>
      </c>
      <c r="F12" s="2">
        <v>70</v>
      </c>
      <c r="G12" s="2">
        <f t="shared" si="0"/>
        <v>85</v>
      </c>
      <c r="H12" s="2">
        <v>20</v>
      </c>
      <c r="I12" s="2">
        <v>13</v>
      </c>
      <c r="J12" s="10">
        <v>20</v>
      </c>
      <c r="K12" s="10">
        <v>20</v>
      </c>
      <c r="L12" s="2">
        <f t="shared" si="1"/>
        <v>92.941176470588232</v>
      </c>
      <c r="M12" s="10">
        <v>40</v>
      </c>
      <c r="N12" s="10">
        <v>30</v>
      </c>
      <c r="O12" s="2">
        <f t="shared" si="2"/>
        <v>100</v>
      </c>
      <c r="P12" s="2">
        <f t="shared" si="3"/>
        <v>55.941176470588232</v>
      </c>
      <c r="Q12" s="2">
        <f t="shared" si="4"/>
        <v>93.235294117647058</v>
      </c>
      <c r="R12" s="2">
        <v>50</v>
      </c>
      <c r="S12" s="2">
        <f t="shared" si="5"/>
        <v>100</v>
      </c>
      <c r="T12" s="2">
        <f t="shared" si="6"/>
        <v>95.941176470588232</v>
      </c>
      <c r="U12" s="2" t="s">
        <v>218</v>
      </c>
    </row>
    <row r="13" spans="1:21" x14ac:dyDescent="0.3">
      <c r="A13" s="3" t="s">
        <v>44</v>
      </c>
      <c r="B13" s="2" t="s">
        <v>45</v>
      </c>
      <c r="C13" s="2" t="s">
        <v>46</v>
      </c>
      <c r="D13" s="2" t="s">
        <v>47</v>
      </c>
      <c r="E13" s="2">
        <v>100</v>
      </c>
      <c r="F13" s="2">
        <v>88</v>
      </c>
      <c r="G13" s="2">
        <f t="shared" si="0"/>
        <v>94</v>
      </c>
      <c r="H13" s="2">
        <v>20</v>
      </c>
      <c r="I13" s="2">
        <v>22</v>
      </c>
      <c r="J13" s="10">
        <v>20</v>
      </c>
      <c r="K13" s="10">
        <v>20</v>
      </c>
      <c r="L13" s="2">
        <f t="shared" si="1"/>
        <v>98.235294117647058</v>
      </c>
      <c r="M13" s="10">
        <v>40</v>
      </c>
      <c r="N13" s="10">
        <v>30</v>
      </c>
      <c r="O13" s="2">
        <f t="shared" si="2"/>
        <v>100</v>
      </c>
      <c r="P13" s="2">
        <f t="shared" si="3"/>
        <v>58.535294117647055</v>
      </c>
      <c r="Q13" s="2">
        <f t="shared" si="4"/>
        <v>97.558823529411768</v>
      </c>
      <c r="R13" s="2">
        <v>0</v>
      </c>
      <c r="S13" s="2">
        <f t="shared" si="5"/>
        <v>50</v>
      </c>
      <c r="T13" s="2">
        <f t="shared" si="6"/>
        <v>78.535294117647055</v>
      </c>
      <c r="U13" s="2" t="s">
        <v>218</v>
      </c>
    </row>
    <row r="14" spans="1:21" x14ac:dyDescent="0.3">
      <c r="A14" s="3" t="s">
        <v>48</v>
      </c>
      <c r="B14" s="2" t="s">
        <v>49</v>
      </c>
      <c r="C14" s="2" t="s">
        <v>50</v>
      </c>
      <c r="D14" s="2" t="s">
        <v>51</v>
      </c>
      <c r="E14" s="2">
        <v>100</v>
      </c>
      <c r="F14" s="2">
        <v>100</v>
      </c>
      <c r="G14" s="2">
        <f t="shared" si="0"/>
        <v>100</v>
      </c>
      <c r="H14" s="2">
        <v>20</v>
      </c>
      <c r="I14" s="2">
        <v>25</v>
      </c>
      <c r="J14" s="10">
        <v>20</v>
      </c>
      <c r="K14" s="10">
        <v>20</v>
      </c>
      <c r="L14" s="2">
        <f t="shared" si="1"/>
        <v>100</v>
      </c>
      <c r="M14" s="10">
        <v>40</v>
      </c>
      <c r="N14" s="10">
        <v>30</v>
      </c>
      <c r="O14" s="2">
        <f t="shared" si="2"/>
        <v>100</v>
      </c>
      <c r="P14" s="2">
        <f t="shared" si="3"/>
        <v>60</v>
      </c>
      <c r="Q14" s="2">
        <f t="shared" si="4"/>
        <v>100</v>
      </c>
      <c r="R14" s="2">
        <v>50</v>
      </c>
      <c r="S14" s="2">
        <f t="shared" si="5"/>
        <v>100</v>
      </c>
      <c r="T14" s="2">
        <f t="shared" si="6"/>
        <v>100</v>
      </c>
      <c r="U14" s="2" t="s">
        <v>218</v>
      </c>
    </row>
    <row r="15" spans="1:21" x14ac:dyDescent="0.3">
      <c r="A15" s="3" t="s">
        <v>52</v>
      </c>
      <c r="B15" s="2" t="s">
        <v>53</v>
      </c>
      <c r="C15" s="2" t="s">
        <v>54</v>
      </c>
      <c r="D15" s="2" t="s">
        <v>55</v>
      </c>
      <c r="E15" s="2">
        <v>100</v>
      </c>
      <c r="F15" s="2">
        <v>80</v>
      </c>
      <c r="G15" s="2">
        <f t="shared" si="0"/>
        <v>90</v>
      </c>
      <c r="H15" s="2">
        <v>20</v>
      </c>
      <c r="I15" s="2">
        <v>14</v>
      </c>
      <c r="J15" s="10">
        <v>0</v>
      </c>
      <c r="K15" s="10">
        <v>20</v>
      </c>
      <c r="L15" s="2">
        <f t="shared" si="1"/>
        <v>81.764705882352942</v>
      </c>
      <c r="M15" s="10">
        <v>30</v>
      </c>
      <c r="N15" s="10">
        <v>30</v>
      </c>
      <c r="O15" s="2">
        <f t="shared" si="2"/>
        <v>92.857142857142861</v>
      </c>
      <c r="P15" s="2">
        <f t="shared" si="3"/>
        <v>53.478991596638657</v>
      </c>
      <c r="Q15" s="2">
        <f t="shared" si="4"/>
        <v>89.131652661064436</v>
      </c>
      <c r="R15" s="2">
        <v>44</v>
      </c>
      <c r="S15" s="2">
        <f t="shared" si="5"/>
        <v>94</v>
      </c>
      <c r="T15" s="2">
        <f t="shared" si="6"/>
        <v>91.078991596638659</v>
      </c>
      <c r="U15" s="2" t="s">
        <v>218</v>
      </c>
    </row>
    <row r="16" spans="1:21" x14ac:dyDescent="0.3">
      <c r="A16" s="3" t="s">
        <v>56</v>
      </c>
      <c r="B16" s="2" t="s">
        <v>57</v>
      </c>
      <c r="C16" s="2" t="s">
        <v>58</v>
      </c>
      <c r="D16" s="2" t="s">
        <v>59</v>
      </c>
      <c r="E16" s="2">
        <v>90</v>
      </c>
      <c r="F16" s="2">
        <v>88</v>
      </c>
      <c r="G16" s="2">
        <f t="shared" si="0"/>
        <v>89</v>
      </c>
      <c r="H16" s="2">
        <v>15</v>
      </c>
      <c r="I16" s="2">
        <v>22</v>
      </c>
      <c r="J16" s="10">
        <v>20</v>
      </c>
      <c r="K16" s="10">
        <v>20</v>
      </c>
      <c r="L16" s="2">
        <f t="shared" si="1"/>
        <v>95.294117647058826</v>
      </c>
      <c r="M16" s="10">
        <v>39</v>
      </c>
      <c r="N16" s="10">
        <v>30</v>
      </c>
      <c r="O16" s="2">
        <f t="shared" si="2"/>
        <v>99.285714285714292</v>
      </c>
      <c r="P16" s="2">
        <f t="shared" si="3"/>
        <v>56.915546218487393</v>
      </c>
      <c r="Q16" s="2">
        <f t="shared" si="4"/>
        <v>94.859243697478988</v>
      </c>
      <c r="R16" s="2">
        <v>49</v>
      </c>
      <c r="S16" s="2">
        <f t="shared" si="5"/>
        <v>99</v>
      </c>
      <c r="T16" s="2">
        <f t="shared" si="6"/>
        <v>96.515546218487401</v>
      </c>
      <c r="U16" s="2" t="s">
        <v>218</v>
      </c>
    </row>
    <row r="17" spans="1:21" x14ac:dyDescent="0.3">
      <c r="A17" s="3" t="s">
        <v>60</v>
      </c>
      <c r="B17" s="2" t="s">
        <v>61</v>
      </c>
      <c r="C17" s="2" t="s">
        <v>62</v>
      </c>
      <c r="D17" s="2" t="s">
        <v>63</v>
      </c>
      <c r="E17" s="2">
        <v>100</v>
      </c>
      <c r="F17" s="2">
        <v>78</v>
      </c>
      <c r="G17" s="2">
        <f t="shared" si="0"/>
        <v>89</v>
      </c>
      <c r="H17" s="2">
        <v>20</v>
      </c>
      <c r="I17" s="2">
        <v>19</v>
      </c>
      <c r="J17" s="10">
        <v>20</v>
      </c>
      <c r="K17" s="10">
        <v>20</v>
      </c>
      <c r="L17" s="2">
        <f t="shared" si="1"/>
        <v>96.470588235294116</v>
      </c>
      <c r="M17" s="10">
        <v>40</v>
      </c>
      <c r="N17" s="10">
        <v>30</v>
      </c>
      <c r="O17" s="2">
        <f t="shared" si="2"/>
        <v>100</v>
      </c>
      <c r="P17" s="2">
        <f t="shared" si="3"/>
        <v>57.270588235294113</v>
      </c>
      <c r="Q17" s="2">
        <f t="shared" si="4"/>
        <v>95.450980392156865</v>
      </c>
      <c r="R17" s="2">
        <v>49</v>
      </c>
      <c r="S17" s="2">
        <f t="shared" si="5"/>
        <v>99</v>
      </c>
      <c r="T17" s="2">
        <f t="shared" si="6"/>
        <v>96.870588235294122</v>
      </c>
      <c r="U17" s="2" t="s">
        <v>218</v>
      </c>
    </row>
    <row r="18" spans="1:21" x14ac:dyDescent="0.3">
      <c r="A18" s="3" t="s">
        <v>64</v>
      </c>
      <c r="B18" s="2" t="s">
        <v>65</v>
      </c>
      <c r="C18" s="2" t="s">
        <v>66</v>
      </c>
      <c r="D18" s="2" t="s">
        <v>67</v>
      </c>
      <c r="E18" s="2">
        <v>50</v>
      </c>
      <c r="F18" s="2">
        <v>50</v>
      </c>
      <c r="G18" s="2">
        <f t="shared" si="0"/>
        <v>50</v>
      </c>
      <c r="H18" s="2">
        <v>0</v>
      </c>
      <c r="I18" s="2">
        <v>0</v>
      </c>
      <c r="J18" s="10">
        <v>20</v>
      </c>
      <c r="K18" s="10">
        <v>20</v>
      </c>
      <c r="L18" s="2">
        <f t="shared" si="1"/>
        <v>73.529411764705884</v>
      </c>
      <c r="M18" s="10">
        <v>0</v>
      </c>
      <c r="N18" s="2">
        <v>0</v>
      </c>
      <c r="O18" s="2">
        <f t="shared" si="2"/>
        <v>50</v>
      </c>
      <c r="P18" s="2">
        <f t="shared" si="3"/>
        <v>33.529411764705884</v>
      </c>
      <c r="Q18" s="2">
        <f t="shared" si="4"/>
        <v>55.882352941176478</v>
      </c>
      <c r="R18" s="2">
        <v>0</v>
      </c>
      <c r="S18" s="2">
        <f t="shared" si="5"/>
        <v>50</v>
      </c>
      <c r="T18" s="2">
        <f t="shared" si="6"/>
        <v>53.529411764705884</v>
      </c>
      <c r="U18" s="2" t="s">
        <v>218</v>
      </c>
    </row>
    <row r="19" spans="1:21" x14ac:dyDescent="0.3">
      <c r="A19" s="3" t="s">
        <v>68</v>
      </c>
      <c r="B19" s="2" t="s">
        <v>69</v>
      </c>
      <c r="C19" s="2" t="s">
        <v>70</v>
      </c>
      <c r="D19" s="2" t="s">
        <v>71</v>
      </c>
      <c r="E19" s="2">
        <v>100</v>
      </c>
      <c r="F19" s="2">
        <v>88</v>
      </c>
      <c r="G19" s="2">
        <f t="shared" si="0"/>
        <v>94</v>
      </c>
      <c r="H19" s="2">
        <v>20</v>
      </c>
      <c r="I19" s="2">
        <v>22</v>
      </c>
      <c r="J19" s="10">
        <v>20</v>
      </c>
      <c r="K19" s="10">
        <v>20</v>
      </c>
      <c r="L19" s="2">
        <f t="shared" si="1"/>
        <v>98.235294117647058</v>
      </c>
      <c r="M19" s="10">
        <v>40</v>
      </c>
      <c r="N19" s="10">
        <v>30</v>
      </c>
      <c r="O19" s="2">
        <f t="shared" si="2"/>
        <v>100</v>
      </c>
      <c r="P19" s="2">
        <f t="shared" si="3"/>
        <v>58.535294117647055</v>
      </c>
      <c r="Q19" s="2">
        <f t="shared" si="4"/>
        <v>97.558823529411768</v>
      </c>
      <c r="R19" s="2">
        <v>50</v>
      </c>
      <c r="S19" s="2">
        <f t="shared" si="5"/>
        <v>100</v>
      </c>
      <c r="T19" s="2">
        <f t="shared" si="6"/>
        <v>98.535294117647055</v>
      </c>
      <c r="U19" s="2" t="s">
        <v>218</v>
      </c>
    </row>
    <row r="20" spans="1:21" x14ac:dyDescent="0.3">
      <c r="A20" s="3" t="s">
        <v>72</v>
      </c>
      <c r="B20" s="2" t="s">
        <v>73</v>
      </c>
      <c r="C20" s="2" t="s">
        <v>74</v>
      </c>
      <c r="D20" s="2" t="s">
        <v>75</v>
      </c>
      <c r="E20" s="2">
        <v>100</v>
      </c>
      <c r="F20" s="2">
        <v>78</v>
      </c>
      <c r="G20" s="2">
        <f t="shared" si="0"/>
        <v>89</v>
      </c>
      <c r="H20" s="2">
        <v>20</v>
      </c>
      <c r="I20" s="2">
        <v>19</v>
      </c>
      <c r="J20" s="10">
        <v>20</v>
      </c>
      <c r="K20" s="10">
        <v>0</v>
      </c>
      <c r="L20" s="2">
        <f t="shared" si="1"/>
        <v>84.705882352941174</v>
      </c>
      <c r="M20" s="10">
        <v>30</v>
      </c>
      <c r="N20" s="10">
        <v>30</v>
      </c>
      <c r="O20" s="2">
        <f t="shared" si="2"/>
        <v>92.857142857142861</v>
      </c>
      <c r="P20" s="2">
        <f t="shared" si="3"/>
        <v>53.720168067226894</v>
      </c>
      <c r="Q20" s="2">
        <f t="shared" si="4"/>
        <v>89.533613445378165</v>
      </c>
      <c r="R20" s="2">
        <v>33</v>
      </c>
      <c r="S20" s="2">
        <f t="shared" si="5"/>
        <v>83</v>
      </c>
      <c r="T20" s="2">
        <f t="shared" si="6"/>
        <v>86.920168067226911</v>
      </c>
      <c r="U20" s="2" t="s">
        <v>218</v>
      </c>
    </row>
    <row r="21" spans="1:21" x14ac:dyDescent="0.3">
      <c r="A21" s="3" t="s">
        <v>76</v>
      </c>
      <c r="B21" s="2" t="s">
        <v>77</v>
      </c>
      <c r="C21" s="2" t="s">
        <v>78</v>
      </c>
      <c r="D21" s="2" t="s">
        <v>79</v>
      </c>
      <c r="E21" s="2">
        <v>100</v>
      </c>
      <c r="F21" s="2">
        <v>78</v>
      </c>
      <c r="G21" s="2">
        <f t="shared" si="0"/>
        <v>89</v>
      </c>
      <c r="H21" s="2">
        <v>20</v>
      </c>
      <c r="I21" s="2">
        <v>19</v>
      </c>
      <c r="J21" s="10">
        <v>20</v>
      </c>
      <c r="K21" s="2">
        <v>20</v>
      </c>
      <c r="L21" s="2">
        <f t="shared" si="1"/>
        <v>96.470588235294116</v>
      </c>
      <c r="M21" s="10">
        <v>25</v>
      </c>
      <c r="N21" s="10">
        <v>30</v>
      </c>
      <c r="O21" s="2">
        <f t="shared" si="2"/>
        <v>89.285714285714278</v>
      </c>
      <c r="P21" s="2">
        <f t="shared" si="3"/>
        <v>54.592016806722683</v>
      </c>
      <c r="Q21" s="2">
        <f t="shared" si="4"/>
        <v>90.986694677871142</v>
      </c>
      <c r="R21" s="2">
        <v>40</v>
      </c>
      <c r="S21" s="2">
        <f t="shared" si="5"/>
        <v>90</v>
      </c>
      <c r="T21" s="2">
        <f t="shared" si="6"/>
        <v>90.592016806722683</v>
      </c>
      <c r="U21" s="2" t="s">
        <v>218</v>
      </c>
    </row>
    <row r="22" spans="1:21" x14ac:dyDescent="0.3">
      <c r="A22" s="3" t="s">
        <v>80</v>
      </c>
      <c r="B22" s="2" t="s">
        <v>81</v>
      </c>
      <c r="C22" s="2" t="s">
        <v>82</v>
      </c>
      <c r="D22" s="2" t="s">
        <v>83</v>
      </c>
      <c r="E22" s="2">
        <v>90</v>
      </c>
      <c r="F22" s="2">
        <v>100</v>
      </c>
      <c r="G22" s="2">
        <f t="shared" si="0"/>
        <v>95</v>
      </c>
      <c r="H22" s="2">
        <v>15</v>
      </c>
      <c r="I22" s="2">
        <v>25</v>
      </c>
      <c r="J22" s="10">
        <v>20</v>
      </c>
      <c r="K22" s="2">
        <v>20</v>
      </c>
      <c r="L22" s="2">
        <f t="shared" si="1"/>
        <v>97.058823529411768</v>
      </c>
      <c r="M22" s="10">
        <v>35</v>
      </c>
      <c r="N22" s="10">
        <v>30</v>
      </c>
      <c r="O22" s="2">
        <f t="shared" si="2"/>
        <v>96.428571428571431</v>
      </c>
      <c r="P22" s="2">
        <f t="shared" si="3"/>
        <v>57.665966386554622</v>
      </c>
      <c r="Q22" s="2">
        <f t="shared" si="4"/>
        <v>96.109943977591044</v>
      </c>
      <c r="R22" s="2">
        <v>50</v>
      </c>
      <c r="S22" s="2">
        <f t="shared" si="5"/>
        <v>100</v>
      </c>
      <c r="T22" s="2">
        <f t="shared" si="6"/>
        <v>97.665966386554629</v>
      </c>
      <c r="U22" s="2" t="s">
        <v>218</v>
      </c>
    </row>
    <row r="23" spans="1:21" x14ac:dyDescent="0.3">
      <c r="A23" s="3" t="s">
        <v>84</v>
      </c>
      <c r="B23" s="2" t="s">
        <v>85</v>
      </c>
      <c r="C23" s="2" t="s">
        <v>86</v>
      </c>
      <c r="D23" s="2" t="s">
        <v>87</v>
      </c>
      <c r="E23" s="2">
        <v>100</v>
      </c>
      <c r="F23" s="2">
        <v>100</v>
      </c>
      <c r="G23" s="2">
        <f t="shared" si="0"/>
        <v>100</v>
      </c>
      <c r="H23" s="2">
        <v>20</v>
      </c>
      <c r="I23" s="2">
        <v>25</v>
      </c>
      <c r="J23" s="10">
        <v>20</v>
      </c>
      <c r="K23" s="2">
        <v>20</v>
      </c>
      <c r="L23" s="2">
        <f t="shared" si="1"/>
        <v>100</v>
      </c>
      <c r="M23" s="10">
        <v>35</v>
      </c>
      <c r="N23" s="10">
        <v>30</v>
      </c>
      <c r="O23" s="2">
        <f t="shared" si="2"/>
        <v>96.428571428571431</v>
      </c>
      <c r="P23" s="2">
        <f t="shared" si="3"/>
        <v>59.107142857142861</v>
      </c>
      <c r="Q23" s="2">
        <f t="shared" si="4"/>
        <v>98.511904761904773</v>
      </c>
      <c r="R23" s="2">
        <v>45</v>
      </c>
      <c r="S23" s="2">
        <f t="shared" si="5"/>
        <v>95</v>
      </c>
      <c r="T23" s="2">
        <f t="shared" si="6"/>
        <v>97.107142857142861</v>
      </c>
      <c r="U23" s="2" t="s">
        <v>218</v>
      </c>
    </row>
    <row r="24" spans="1:21" x14ac:dyDescent="0.3">
      <c r="A24" s="3" t="s">
        <v>88</v>
      </c>
      <c r="B24" s="2" t="s">
        <v>89</v>
      </c>
      <c r="C24" s="2" t="s">
        <v>90</v>
      </c>
      <c r="D24" s="2" t="s">
        <v>91</v>
      </c>
      <c r="E24" s="2">
        <v>90</v>
      </c>
      <c r="F24" s="2">
        <v>88</v>
      </c>
      <c r="G24" s="2">
        <f t="shared" si="0"/>
        <v>89</v>
      </c>
      <c r="H24" s="2">
        <v>15</v>
      </c>
      <c r="I24" s="2">
        <v>22</v>
      </c>
      <c r="J24" s="10">
        <v>20</v>
      </c>
      <c r="K24" s="2">
        <v>20</v>
      </c>
      <c r="L24" s="2">
        <f t="shared" si="1"/>
        <v>95.294117647058826</v>
      </c>
      <c r="M24" s="10">
        <v>35</v>
      </c>
      <c r="N24" s="10">
        <v>30</v>
      </c>
      <c r="O24" s="2">
        <f t="shared" si="2"/>
        <v>96.428571428571431</v>
      </c>
      <c r="P24" s="2">
        <f t="shared" si="3"/>
        <v>56.201260504201684</v>
      </c>
      <c r="Q24" s="2">
        <f t="shared" si="4"/>
        <v>93.668767507002812</v>
      </c>
      <c r="R24" s="2">
        <v>45</v>
      </c>
      <c r="S24" s="2">
        <f t="shared" si="5"/>
        <v>95</v>
      </c>
      <c r="T24" s="2">
        <f t="shared" si="6"/>
        <v>94.201260504201684</v>
      </c>
      <c r="U24" s="2" t="s">
        <v>218</v>
      </c>
    </row>
    <row r="25" spans="1:21" x14ac:dyDescent="0.3">
      <c r="A25" s="3" t="s">
        <v>92</v>
      </c>
      <c r="B25" s="2" t="s">
        <v>93</v>
      </c>
      <c r="C25" s="2" t="s">
        <v>94</v>
      </c>
      <c r="D25" s="2"/>
      <c r="E25" s="2">
        <v>100</v>
      </c>
      <c r="F25" s="2">
        <v>88</v>
      </c>
      <c r="G25" s="2">
        <f t="shared" si="0"/>
        <v>94</v>
      </c>
      <c r="H25" s="2">
        <v>20</v>
      </c>
      <c r="I25" s="2">
        <v>22</v>
      </c>
      <c r="J25" s="10">
        <v>0</v>
      </c>
      <c r="K25" s="10">
        <v>0</v>
      </c>
      <c r="L25" s="2">
        <f t="shared" si="1"/>
        <v>74.705882352941174</v>
      </c>
      <c r="M25" s="10">
        <v>40</v>
      </c>
      <c r="N25" s="10">
        <v>25</v>
      </c>
      <c r="O25" s="2">
        <f t="shared" si="2"/>
        <v>96.428571428571431</v>
      </c>
      <c r="P25" s="2">
        <f t="shared" si="3"/>
        <v>54.113025210084032</v>
      </c>
      <c r="Q25" s="2">
        <f t="shared" si="4"/>
        <v>90.188375350140063</v>
      </c>
      <c r="R25" s="2">
        <v>39</v>
      </c>
      <c r="S25" s="2">
        <f t="shared" si="5"/>
        <v>89</v>
      </c>
      <c r="T25" s="2">
        <f t="shared" si="6"/>
        <v>89.713025210084041</v>
      </c>
      <c r="U25" s="2" t="s">
        <v>218</v>
      </c>
    </row>
    <row r="26" spans="1:21" x14ac:dyDescent="0.3">
      <c r="A26" s="3" t="s">
        <v>95</v>
      </c>
      <c r="B26" s="2" t="s">
        <v>96</v>
      </c>
      <c r="C26" s="2" t="s">
        <v>97</v>
      </c>
      <c r="D26" s="2" t="s">
        <v>98</v>
      </c>
      <c r="E26" s="2">
        <v>100</v>
      </c>
      <c r="F26" s="2">
        <v>78</v>
      </c>
      <c r="G26" s="2">
        <f t="shared" si="0"/>
        <v>89</v>
      </c>
      <c r="H26" s="2">
        <v>20</v>
      </c>
      <c r="I26" s="2">
        <v>19</v>
      </c>
      <c r="J26" s="2">
        <v>20</v>
      </c>
      <c r="K26" s="2">
        <v>20</v>
      </c>
      <c r="L26" s="2">
        <f t="shared" si="1"/>
        <v>96.470588235294116</v>
      </c>
      <c r="M26" s="10">
        <v>35</v>
      </c>
      <c r="N26" s="10">
        <v>25</v>
      </c>
      <c r="O26" s="2">
        <f t="shared" si="2"/>
        <v>92.857142857142861</v>
      </c>
      <c r="P26" s="2">
        <f t="shared" si="3"/>
        <v>55.484873949579836</v>
      </c>
      <c r="Q26" s="2">
        <f t="shared" si="4"/>
        <v>92.474789915966397</v>
      </c>
      <c r="R26" s="2">
        <v>43</v>
      </c>
      <c r="S26" s="2">
        <f t="shared" si="5"/>
        <v>93</v>
      </c>
      <c r="T26" s="2">
        <f t="shared" si="6"/>
        <v>92.684873949579838</v>
      </c>
      <c r="U26" s="2" t="s">
        <v>218</v>
      </c>
    </row>
    <row r="27" spans="1:21" x14ac:dyDescent="0.3">
      <c r="A27" s="3" t="s">
        <v>99</v>
      </c>
      <c r="B27" s="2" t="s">
        <v>100</v>
      </c>
      <c r="C27" s="2" t="s">
        <v>101</v>
      </c>
      <c r="D27" s="2" t="s">
        <v>102</v>
      </c>
      <c r="E27" s="2">
        <v>100</v>
      </c>
      <c r="F27" s="2">
        <v>100</v>
      </c>
      <c r="G27" s="2">
        <f t="shared" si="0"/>
        <v>100</v>
      </c>
      <c r="H27" s="2">
        <v>20</v>
      </c>
      <c r="I27" s="2">
        <v>25</v>
      </c>
      <c r="J27" s="2">
        <v>20</v>
      </c>
      <c r="K27" s="2">
        <v>20</v>
      </c>
      <c r="L27" s="2">
        <f t="shared" si="1"/>
        <v>100</v>
      </c>
      <c r="M27" s="10">
        <v>29</v>
      </c>
      <c r="N27" s="10">
        <v>25</v>
      </c>
      <c r="O27" s="2">
        <f t="shared" si="2"/>
        <v>88.571428571428584</v>
      </c>
      <c r="P27" s="2">
        <f t="shared" si="3"/>
        <v>57.142857142857146</v>
      </c>
      <c r="Q27" s="2">
        <f t="shared" si="4"/>
        <v>95.238095238095241</v>
      </c>
      <c r="R27" s="2">
        <v>44</v>
      </c>
      <c r="S27" s="2">
        <f t="shared" si="5"/>
        <v>94</v>
      </c>
      <c r="T27" s="2">
        <f t="shared" si="6"/>
        <v>94.742857142857147</v>
      </c>
      <c r="U27" s="2" t="s">
        <v>218</v>
      </c>
    </row>
    <row r="28" spans="1:21" x14ac:dyDescent="0.3">
      <c r="A28" s="3" t="s">
        <v>103</v>
      </c>
      <c r="B28" s="2" t="s">
        <v>104</v>
      </c>
      <c r="C28" s="2" t="s">
        <v>105</v>
      </c>
      <c r="D28" s="2" t="s">
        <v>106</v>
      </c>
      <c r="E28" s="2">
        <v>100</v>
      </c>
      <c r="F28" s="2">
        <v>60</v>
      </c>
      <c r="G28" s="2">
        <f t="shared" si="0"/>
        <v>80</v>
      </c>
      <c r="H28" s="2">
        <v>20</v>
      </c>
      <c r="I28" s="2">
        <v>9</v>
      </c>
      <c r="J28" s="2">
        <v>20</v>
      </c>
      <c r="K28" s="2">
        <v>20</v>
      </c>
      <c r="L28" s="2">
        <f t="shared" si="1"/>
        <v>90.588235294117652</v>
      </c>
      <c r="M28" s="10">
        <v>40</v>
      </c>
      <c r="N28" s="10">
        <v>30</v>
      </c>
      <c r="O28" s="2">
        <f t="shared" si="2"/>
        <v>100</v>
      </c>
      <c r="P28" s="2">
        <f t="shared" si="3"/>
        <v>54.588235294117645</v>
      </c>
      <c r="Q28" s="2">
        <f t="shared" si="4"/>
        <v>90.980392156862749</v>
      </c>
      <c r="R28" s="2">
        <v>45</v>
      </c>
      <c r="S28" s="2">
        <f t="shared" si="5"/>
        <v>95</v>
      </c>
      <c r="T28" s="2">
        <f t="shared" si="6"/>
        <v>92.588235294117652</v>
      </c>
      <c r="U28" s="2" t="s">
        <v>218</v>
      </c>
    </row>
    <row r="29" spans="1:21" x14ac:dyDescent="0.3">
      <c r="A29" s="3" t="s">
        <v>107</v>
      </c>
      <c r="B29" s="2" t="s">
        <v>108</v>
      </c>
      <c r="C29" s="2" t="s">
        <v>109</v>
      </c>
      <c r="D29" s="2" t="s">
        <v>110</v>
      </c>
      <c r="E29" s="2">
        <v>100</v>
      </c>
      <c r="F29" s="2">
        <v>75</v>
      </c>
      <c r="G29" s="2">
        <f t="shared" si="0"/>
        <v>87.5</v>
      </c>
      <c r="H29" s="2">
        <v>20</v>
      </c>
      <c r="I29" s="2">
        <v>15</v>
      </c>
      <c r="J29" s="2">
        <v>20</v>
      </c>
      <c r="K29" s="2">
        <v>20</v>
      </c>
      <c r="L29" s="2">
        <f t="shared" si="1"/>
        <v>94.117647058823536</v>
      </c>
      <c r="M29" s="10">
        <v>35</v>
      </c>
      <c r="N29" s="2">
        <v>0</v>
      </c>
      <c r="O29" s="2">
        <f t="shared" si="2"/>
        <v>75</v>
      </c>
      <c r="P29" s="2">
        <f t="shared" si="3"/>
        <v>50.367647058823529</v>
      </c>
      <c r="Q29" s="2">
        <f t="shared" si="4"/>
        <v>83.946078431372555</v>
      </c>
      <c r="R29" s="2">
        <v>45</v>
      </c>
      <c r="S29" s="2">
        <f t="shared" si="5"/>
        <v>95</v>
      </c>
      <c r="T29" s="2">
        <f t="shared" si="6"/>
        <v>88.367647058823536</v>
      </c>
      <c r="U29" s="2" t="s">
        <v>218</v>
      </c>
    </row>
    <row r="30" spans="1:21" x14ac:dyDescent="0.3">
      <c r="A30" s="3" t="s">
        <v>111</v>
      </c>
      <c r="B30" s="2" t="s">
        <v>112</v>
      </c>
      <c r="C30" s="2" t="s">
        <v>113</v>
      </c>
      <c r="D30" s="2" t="s">
        <v>114</v>
      </c>
      <c r="E30" s="2">
        <v>100</v>
      </c>
      <c r="F30" s="2">
        <v>100</v>
      </c>
      <c r="G30" s="2">
        <f t="shared" si="0"/>
        <v>100</v>
      </c>
      <c r="H30" s="2">
        <v>20</v>
      </c>
      <c r="I30" s="2">
        <v>25</v>
      </c>
      <c r="J30" s="2">
        <v>20</v>
      </c>
      <c r="K30" s="2">
        <v>20</v>
      </c>
      <c r="L30" s="2">
        <f t="shared" si="1"/>
        <v>100</v>
      </c>
      <c r="M30" s="10">
        <v>40</v>
      </c>
      <c r="N30" s="10">
        <v>30</v>
      </c>
      <c r="O30" s="2">
        <f t="shared" si="2"/>
        <v>100</v>
      </c>
      <c r="P30" s="2">
        <f t="shared" si="3"/>
        <v>60</v>
      </c>
      <c r="Q30" s="2">
        <f t="shared" si="4"/>
        <v>100</v>
      </c>
      <c r="R30" s="2">
        <v>50</v>
      </c>
      <c r="S30" s="2">
        <f t="shared" si="5"/>
        <v>100</v>
      </c>
      <c r="T30" s="2">
        <f t="shared" si="6"/>
        <v>100</v>
      </c>
      <c r="U30" s="2" t="s">
        <v>218</v>
      </c>
    </row>
    <row r="31" spans="1:21" x14ac:dyDescent="0.3">
      <c r="A31" s="3" t="s">
        <v>115</v>
      </c>
      <c r="B31" s="2" t="s">
        <v>116</v>
      </c>
      <c r="C31" s="2" t="s">
        <v>117</v>
      </c>
      <c r="D31" s="2" t="s">
        <v>11</v>
      </c>
      <c r="E31" s="2">
        <v>100</v>
      </c>
      <c r="F31" s="2">
        <v>100</v>
      </c>
      <c r="G31" s="2">
        <f t="shared" si="0"/>
        <v>100</v>
      </c>
      <c r="H31" s="2">
        <v>20</v>
      </c>
      <c r="I31" s="2">
        <v>25</v>
      </c>
      <c r="J31" s="2">
        <v>20</v>
      </c>
      <c r="K31" s="2">
        <v>20</v>
      </c>
      <c r="L31" s="2">
        <f t="shared" si="1"/>
        <v>100</v>
      </c>
      <c r="M31" s="10">
        <v>40</v>
      </c>
      <c r="N31" s="10">
        <v>30</v>
      </c>
      <c r="O31" s="2">
        <f t="shared" si="2"/>
        <v>100</v>
      </c>
      <c r="P31" s="2">
        <f t="shared" si="3"/>
        <v>60</v>
      </c>
      <c r="Q31" s="2">
        <f t="shared" si="4"/>
        <v>100</v>
      </c>
      <c r="R31" s="2">
        <v>45</v>
      </c>
      <c r="S31" s="2">
        <f t="shared" si="5"/>
        <v>95</v>
      </c>
      <c r="T31" s="2">
        <f t="shared" si="6"/>
        <v>98</v>
      </c>
      <c r="U31" s="2" t="s">
        <v>218</v>
      </c>
    </row>
    <row r="32" spans="1:21" x14ac:dyDescent="0.3">
      <c r="A32" s="3" t="s">
        <v>118</v>
      </c>
      <c r="B32" s="2" t="s">
        <v>119</v>
      </c>
      <c r="C32" s="2" t="s">
        <v>120</v>
      </c>
      <c r="D32" s="2" t="s">
        <v>121</v>
      </c>
      <c r="E32" s="2">
        <v>100</v>
      </c>
      <c r="F32" s="2">
        <v>100</v>
      </c>
      <c r="G32" s="2">
        <f t="shared" si="0"/>
        <v>100</v>
      </c>
      <c r="H32" s="2">
        <v>20</v>
      </c>
      <c r="I32" s="2">
        <v>25</v>
      </c>
      <c r="J32" s="2">
        <v>20</v>
      </c>
      <c r="K32" s="2">
        <v>20</v>
      </c>
      <c r="L32" s="2">
        <f t="shared" si="1"/>
        <v>100</v>
      </c>
      <c r="M32" s="10">
        <v>35</v>
      </c>
      <c r="N32" s="10">
        <v>30</v>
      </c>
      <c r="O32" s="2">
        <f t="shared" si="2"/>
        <v>96.428571428571431</v>
      </c>
      <c r="P32" s="2">
        <f t="shared" si="3"/>
        <v>59.107142857142861</v>
      </c>
      <c r="Q32" s="2">
        <f t="shared" si="4"/>
        <v>98.511904761904773</v>
      </c>
      <c r="R32" s="2">
        <v>50</v>
      </c>
      <c r="S32" s="2">
        <f t="shared" si="5"/>
        <v>100</v>
      </c>
      <c r="T32" s="2">
        <f t="shared" si="6"/>
        <v>99.107142857142861</v>
      </c>
      <c r="U32" s="2" t="s">
        <v>218</v>
      </c>
    </row>
    <row r="33" spans="1:21" x14ac:dyDescent="0.3">
      <c r="A33" s="3" t="s">
        <v>122</v>
      </c>
      <c r="B33" s="2" t="s">
        <v>123</v>
      </c>
      <c r="C33" s="2" t="s">
        <v>124</v>
      </c>
      <c r="D33" s="2" t="s">
        <v>125</v>
      </c>
      <c r="E33" s="2">
        <v>100</v>
      </c>
      <c r="F33" s="2">
        <v>100</v>
      </c>
      <c r="G33" s="2">
        <f t="shared" si="0"/>
        <v>100</v>
      </c>
      <c r="H33" s="2">
        <v>20</v>
      </c>
      <c r="I33" s="2">
        <v>25</v>
      </c>
      <c r="J33" s="2">
        <v>20</v>
      </c>
      <c r="K33" s="2">
        <v>20</v>
      </c>
      <c r="L33" s="2">
        <f t="shared" si="1"/>
        <v>100</v>
      </c>
      <c r="M33" s="10">
        <v>40</v>
      </c>
      <c r="N33" s="10">
        <v>30</v>
      </c>
      <c r="O33" s="2">
        <f t="shared" si="2"/>
        <v>100</v>
      </c>
      <c r="P33" s="2">
        <f t="shared" si="3"/>
        <v>60</v>
      </c>
      <c r="Q33" s="2">
        <f t="shared" si="4"/>
        <v>100</v>
      </c>
      <c r="R33" s="2">
        <v>50</v>
      </c>
      <c r="S33" s="2">
        <f t="shared" si="5"/>
        <v>100</v>
      </c>
      <c r="T33" s="2">
        <f t="shared" si="6"/>
        <v>100</v>
      </c>
      <c r="U33" s="2" t="s">
        <v>218</v>
      </c>
    </row>
    <row r="34" spans="1:21" x14ac:dyDescent="0.3">
      <c r="A34" s="3" t="s">
        <v>126</v>
      </c>
      <c r="B34" s="2" t="s">
        <v>127</v>
      </c>
      <c r="C34" s="2" t="s">
        <v>128</v>
      </c>
      <c r="D34" s="2" t="s">
        <v>129</v>
      </c>
      <c r="E34" s="2">
        <v>100</v>
      </c>
      <c r="F34" s="2">
        <v>100</v>
      </c>
      <c r="G34" s="2">
        <f t="shared" si="0"/>
        <v>100</v>
      </c>
      <c r="H34" s="2">
        <v>20</v>
      </c>
      <c r="I34" s="2">
        <v>25</v>
      </c>
      <c r="J34" s="2">
        <v>20</v>
      </c>
      <c r="K34" s="2">
        <v>20</v>
      </c>
      <c r="L34" s="2">
        <f t="shared" si="1"/>
        <v>100</v>
      </c>
      <c r="M34" s="10">
        <v>40</v>
      </c>
      <c r="N34" s="10">
        <v>30</v>
      </c>
      <c r="O34" s="2">
        <f t="shared" si="2"/>
        <v>100</v>
      </c>
      <c r="P34" s="2">
        <f t="shared" si="3"/>
        <v>60</v>
      </c>
      <c r="Q34" s="2">
        <f t="shared" si="4"/>
        <v>100</v>
      </c>
      <c r="R34" s="2">
        <v>50</v>
      </c>
      <c r="S34" s="2">
        <f t="shared" si="5"/>
        <v>100</v>
      </c>
      <c r="T34" s="2">
        <f t="shared" si="6"/>
        <v>100</v>
      </c>
      <c r="U34" s="2" t="s">
        <v>218</v>
      </c>
    </row>
    <row r="35" spans="1:21" x14ac:dyDescent="0.3">
      <c r="A35" s="3" t="s">
        <v>130</v>
      </c>
      <c r="B35" s="2" t="s">
        <v>131</v>
      </c>
      <c r="C35" s="2" t="s">
        <v>132</v>
      </c>
      <c r="D35" s="2" t="s">
        <v>133</v>
      </c>
      <c r="E35" s="2">
        <v>100</v>
      </c>
      <c r="F35" s="2">
        <v>88</v>
      </c>
      <c r="G35" s="2">
        <f t="shared" si="0"/>
        <v>94</v>
      </c>
      <c r="H35" s="2">
        <v>20</v>
      </c>
      <c r="I35" s="2">
        <v>22</v>
      </c>
      <c r="J35" s="10">
        <v>0</v>
      </c>
      <c r="K35" s="10">
        <v>0</v>
      </c>
      <c r="L35" s="2">
        <f t="shared" si="1"/>
        <v>74.705882352941174</v>
      </c>
      <c r="M35" s="10">
        <v>40</v>
      </c>
      <c r="N35" s="10">
        <v>30</v>
      </c>
      <c r="O35" s="2">
        <f t="shared" si="2"/>
        <v>100</v>
      </c>
      <c r="P35" s="2">
        <f t="shared" si="3"/>
        <v>55.005882352941171</v>
      </c>
      <c r="Q35" s="2">
        <f t="shared" si="4"/>
        <v>91.67647058823529</v>
      </c>
      <c r="R35" s="2">
        <v>45</v>
      </c>
      <c r="S35" s="2">
        <f t="shared" si="5"/>
        <v>95</v>
      </c>
      <c r="T35" s="2">
        <f t="shared" si="6"/>
        <v>93.005882352941171</v>
      </c>
      <c r="U35" s="2" t="s">
        <v>218</v>
      </c>
    </row>
    <row r="36" spans="1:21" x14ac:dyDescent="0.3">
      <c r="A36" s="3" t="s">
        <v>134</v>
      </c>
      <c r="B36" s="2" t="s">
        <v>135</v>
      </c>
      <c r="C36" s="2" t="s">
        <v>136</v>
      </c>
      <c r="D36" s="2" t="s">
        <v>137</v>
      </c>
      <c r="E36" s="2">
        <v>100</v>
      </c>
      <c r="F36" s="2">
        <v>100</v>
      </c>
      <c r="G36" s="2">
        <f t="shared" si="0"/>
        <v>100</v>
      </c>
      <c r="H36" s="2">
        <v>20</v>
      </c>
      <c r="I36" s="2">
        <v>25</v>
      </c>
      <c r="J36" s="2">
        <v>20</v>
      </c>
      <c r="K36" s="2">
        <v>20</v>
      </c>
      <c r="L36" s="2">
        <f t="shared" si="1"/>
        <v>100</v>
      </c>
      <c r="M36" s="10">
        <v>39</v>
      </c>
      <c r="N36" s="10">
        <v>30</v>
      </c>
      <c r="O36" s="2">
        <f t="shared" si="2"/>
        <v>99.285714285714292</v>
      </c>
      <c r="P36" s="2">
        <f t="shared" si="3"/>
        <v>59.821428571428569</v>
      </c>
      <c r="Q36" s="2">
        <f t="shared" si="4"/>
        <v>99.702380952380949</v>
      </c>
      <c r="R36" s="2">
        <v>49</v>
      </c>
      <c r="S36" s="2">
        <f t="shared" si="5"/>
        <v>99</v>
      </c>
      <c r="T36" s="2">
        <f t="shared" si="6"/>
        <v>99.421428571428578</v>
      </c>
      <c r="U36" s="2" t="s">
        <v>218</v>
      </c>
    </row>
    <row r="37" spans="1:21" x14ac:dyDescent="0.3">
      <c r="A37" s="3" t="s">
        <v>138</v>
      </c>
      <c r="B37" s="2" t="s">
        <v>139</v>
      </c>
      <c r="C37" s="2" t="s">
        <v>140</v>
      </c>
      <c r="D37" s="2" t="s">
        <v>141</v>
      </c>
      <c r="E37" s="2">
        <v>100</v>
      </c>
      <c r="F37" s="2">
        <v>78</v>
      </c>
      <c r="G37" s="2">
        <f t="shared" si="0"/>
        <v>89</v>
      </c>
      <c r="H37" s="2">
        <v>20</v>
      </c>
      <c r="I37" s="2">
        <v>19</v>
      </c>
      <c r="J37" s="2">
        <v>20</v>
      </c>
      <c r="K37" s="2">
        <v>20</v>
      </c>
      <c r="L37" s="2">
        <f t="shared" si="1"/>
        <v>96.470588235294116</v>
      </c>
      <c r="M37" s="10">
        <v>27</v>
      </c>
      <c r="N37" s="10">
        <v>30</v>
      </c>
      <c r="O37" s="2">
        <f t="shared" si="2"/>
        <v>90.714285714285722</v>
      </c>
      <c r="P37" s="2">
        <f t="shared" si="3"/>
        <v>54.949159663865544</v>
      </c>
      <c r="Q37" s="2">
        <f t="shared" si="4"/>
        <v>91.581932773109244</v>
      </c>
      <c r="R37" s="2">
        <v>39</v>
      </c>
      <c r="S37" s="2">
        <f t="shared" si="5"/>
        <v>89</v>
      </c>
      <c r="T37" s="2">
        <f t="shared" si="6"/>
        <v>90.549159663865538</v>
      </c>
      <c r="U37" s="2" t="s">
        <v>218</v>
      </c>
    </row>
    <row r="38" spans="1:21" x14ac:dyDescent="0.3">
      <c r="A38" s="3" t="s">
        <v>142</v>
      </c>
      <c r="B38" s="2" t="s">
        <v>143</v>
      </c>
      <c r="C38" s="2" t="s">
        <v>144</v>
      </c>
      <c r="D38" s="2" t="s">
        <v>145</v>
      </c>
      <c r="E38" s="2">
        <v>100</v>
      </c>
      <c r="F38" s="2">
        <v>100</v>
      </c>
      <c r="G38" s="2">
        <f t="shared" si="0"/>
        <v>100</v>
      </c>
      <c r="H38" s="2">
        <v>20</v>
      </c>
      <c r="I38" s="2">
        <v>25</v>
      </c>
      <c r="J38" s="2">
        <v>20</v>
      </c>
      <c r="K38" s="2">
        <v>20</v>
      </c>
      <c r="L38" s="2">
        <f t="shared" si="1"/>
        <v>100</v>
      </c>
      <c r="M38" s="10">
        <v>40</v>
      </c>
      <c r="N38" s="10">
        <v>30</v>
      </c>
      <c r="O38" s="2">
        <f t="shared" si="2"/>
        <v>100</v>
      </c>
      <c r="P38" s="2">
        <f t="shared" si="3"/>
        <v>60</v>
      </c>
      <c r="Q38" s="2">
        <f t="shared" si="4"/>
        <v>100</v>
      </c>
      <c r="R38" s="2">
        <v>50</v>
      </c>
      <c r="S38" s="2">
        <f t="shared" si="5"/>
        <v>100</v>
      </c>
      <c r="T38" s="2">
        <f t="shared" si="6"/>
        <v>100</v>
      </c>
      <c r="U38" s="2" t="s">
        <v>218</v>
      </c>
    </row>
    <row r="39" spans="1:21" x14ac:dyDescent="0.3">
      <c r="A39" s="3" t="s">
        <v>146</v>
      </c>
      <c r="B39" s="2" t="s">
        <v>147</v>
      </c>
      <c r="C39" s="2" t="s">
        <v>148</v>
      </c>
      <c r="D39" s="2" t="s">
        <v>149</v>
      </c>
      <c r="E39" s="2">
        <v>100</v>
      </c>
      <c r="F39" s="2">
        <v>88</v>
      </c>
      <c r="G39" s="2">
        <f t="shared" si="0"/>
        <v>94</v>
      </c>
      <c r="H39" s="2">
        <v>20</v>
      </c>
      <c r="I39" s="2">
        <v>22</v>
      </c>
      <c r="J39" s="2">
        <v>20</v>
      </c>
      <c r="K39" s="2">
        <v>20</v>
      </c>
      <c r="L39" s="2">
        <f t="shared" si="1"/>
        <v>98.235294117647058</v>
      </c>
      <c r="M39" s="10">
        <v>25</v>
      </c>
      <c r="N39" s="10">
        <v>25</v>
      </c>
      <c r="O39" s="2">
        <f t="shared" si="2"/>
        <v>85.714285714285722</v>
      </c>
      <c r="P39" s="2">
        <f t="shared" si="3"/>
        <v>54.963865546218486</v>
      </c>
      <c r="Q39" s="2">
        <f t="shared" si="4"/>
        <v>91.606442577030819</v>
      </c>
      <c r="R39" s="2">
        <v>44</v>
      </c>
      <c r="S39" s="2">
        <f t="shared" si="5"/>
        <v>94</v>
      </c>
      <c r="T39" s="2">
        <f t="shared" si="6"/>
        <v>92.563865546218494</v>
      </c>
      <c r="U39" s="2" t="s">
        <v>218</v>
      </c>
    </row>
    <row r="40" spans="1:21" x14ac:dyDescent="0.3">
      <c r="A40" s="3" t="s">
        <v>150</v>
      </c>
      <c r="B40" s="2" t="s">
        <v>151</v>
      </c>
      <c r="C40" s="2" t="s">
        <v>152</v>
      </c>
      <c r="D40" s="2" t="s">
        <v>153</v>
      </c>
      <c r="E40" s="2">
        <v>100</v>
      </c>
      <c r="F40" s="2">
        <v>78</v>
      </c>
      <c r="G40" s="2">
        <f t="shared" si="0"/>
        <v>89</v>
      </c>
      <c r="H40" s="2">
        <v>20</v>
      </c>
      <c r="I40" s="2">
        <v>19</v>
      </c>
      <c r="J40" s="2">
        <v>20</v>
      </c>
      <c r="K40" s="2">
        <v>20</v>
      </c>
      <c r="L40" s="2">
        <f t="shared" si="1"/>
        <v>96.470588235294116</v>
      </c>
      <c r="M40" s="10">
        <v>34</v>
      </c>
      <c r="N40" s="10">
        <v>30</v>
      </c>
      <c r="O40" s="2">
        <f t="shared" si="2"/>
        <v>95.714285714285722</v>
      </c>
      <c r="P40" s="2">
        <f t="shared" si="3"/>
        <v>56.199159663865544</v>
      </c>
      <c r="Q40" s="2">
        <f t="shared" si="4"/>
        <v>93.665266106442573</v>
      </c>
      <c r="R40" s="2">
        <v>50</v>
      </c>
      <c r="S40" s="2">
        <f t="shared" si="5"/>
        <v>100</v>
      </c>
      <c r="T40" s="2">
        <f t="shared" si="6"/>
        <v>96.199159663865544</v>
      </c>
      <c r="U40" s="2" t="s">
        <v>218</v>
      </c>
    </row>
    <row r="41" spans="1:21" x14ac:dyDescent="0.3">
      <c r="A41" s="3" t="s">
        <v>154</v>
      </c>
      <c r="B41" s="2" t="s">
        <v>155</v>
      </c>
      <c r="C41" s="2" t="s">
        <v>156</v>
      </c>
      <c r="D41" s="2" t="s">
        <v>157</v>
      </c>
      <c r="E41" s="2">
        <v>100</v>
      </c>
      <c r="F41" s="2">
        <v>100</v>
      </c>
      <c r="G41" s="2">
        <f t="shared" si="0"/>
        <v>100</v>
      </c>
      <c r="H41" s="2">
        <v>20</v>
      </c>
      <c r="I41" s="2">
        <v>25</v>
      </c>
      <c r="J41" s="2">
        <v>20</v>
      </c>
      <c r="K41" s="2">
        <v>20</v>
      </c>
      <c r="L41" s="2">
        <f t="shared" si="1"/>
        <v>100</v>
      </c>
      <c r="M41" s="10">
        <v>40</v>
      </c>
      <c r="N41" s="10">
        <v>30</v>
      </c>
      <c r="O41" s="2">
        <f t="shared" si="2"/>
        <v>100</v>
      </c>
      <c r="P41" s="2">
        <f t="shared" si="3"/>
        <v>60</v>
      </c>
      <c r="Q41" s="2">
        <f t="shared" si="4"/>
        <v>100</v>
      </c>
      <c r="R41" s="2">
        <v>50</v>
      </c>
      <c r="S41" s="2">
        <f t="shared" si="5"/>
        <v>100</v>
      </c>
      <c r="T41" s="2">
        <f t="shared" si="6"/>
        <v>100</v>
      </c>
      <c r="U41" s="2" t="s">
        <v>218</v>
      </c>
    </row>
    <row r="42" spans="1:21" x14ac:dyDescent="0.3">
      <c r="A42" s="3" t="s">
        <v>158</v>
      </c>
      <c r="B42" s="2" t="s">
        <v>159</v>
      </c>
      <c r="C42" s="2" t="s">
        <v>160</v>
      </c>
      <c r="D42" s="2" t="s">
        <v>161</v>
      </c>
      <c r="E42" s="2">
        <v>100</v>
      </c>
      <c r="F42" s="2">
        <v>100</v>
      </c>
      <c r="G42" s="2">
        <f t="shared" si="0"/>
        <v>100</v>
      </c>
      <c r="H42" s="2">
        <v>20</v>
      </c>
      <c r="I42" s="2">
        <v>25</v>
      </c>
      <c r="J42" s="2">
        <v>20</v>
      </c>
      <c r="K42" s="2">
        <v>20</v>
      </c>
      <c r="L42" s="2">
        <f t="shared" si="1"/>
        <v>100</v>
      </c>
      <c r="M42" s="10">
        <v>35</v>
      </c>
      <c r="N42" s="10">
        <v>30</v>
      </c>
      <c r="O42" s="2">
        <f t="shared" si="2"/>
        <v>96.428571428571431</v>
      </c>
      <c r="P42" s="2">
        <f t="shared" si="3"/>
        <v>59.107142857142861</v>
      </c>
      <c r="Q42" s="2">
        <f t="shared" si="4"/>
        <v>98.511904761904773</v>
      </c>
      <c r="R42" s="2">
        <v>44</v>
      </c>
      <c r="S42" s="2">
        <f t="shared" si="5"/>
        <v>94</v>
      </c>
      <c r="T42" s="2">
        <f t="shared" si="6"/>
        <v>96.707142857142856</v>
      </c>
      <c r="U42" s="2" t="s">
        <v>218</v>
      </c>
    </row>
    <row r="43" spans="1:21" x14ac:dyDescent="0.3">
      <c r="A43" s="3" t="s">
        <v>162</v>
      </c>
      <c r="B43" s="2" t="s">
        <v>163</v>
      </c>
      <c r="C43" s="2" t="s">
        <v>164</v>
      </c>
      <c r="D43" s="2" t="s">
        <v>165</v>
      </c>
      <c r="E43" s="2">
        <v>100</v>
      </c>
      <c r="F43" s="2">
        <v>88</v>
      </c>
      <c r="G43" s="2">
        <f t="shared" si="0"/>
        <v>94</v>
      </c>
      <c r="H43" s="2">
        <v>20</v>
      </c>
      <c r="I43" s="2">
        <v>22</v>
      </c>
      <c r="J43" s="2">
        <v>20</v>
      </c>
      <c r="K43" s="2">
        <v>20</v>
      </c>
      <c r="L43" s="2">
        <f t="shared" si="1"/>
        <v>98.235294117647058</v>
      </c>
      <c r="M43" s="10">
        <v>35</v>
      </c>
      <c r="N43" s="10">
        <v>15</v>
      </c>
      <c r="O43" s="2">
        <f t="shared" si="2"/>
        <v>85.714285714285722</v>
      </c>
      <c r="P43" s="2">
        <f t="shared" si="3"/>
        <v>54.963865546218486</v>
      </c>
      <c r="Q43" s="2">
        <f t="shared" si="4"/>
        <v>91.606442577030819</v>
      </c>
      <c r="R43" s="2">
        <v>29</v>
      </c>
      <c r="S43" s="2">
        <f t="shared" si="5"/>
        <v>79</v>
      </c>
      <c r="T43" s="2">
        <f t="shared" si="6"/>
        <v>86.563865546218494</v>
      </c>
      <c r="U43" s="2" t="s">
        <v>218</v>
      </c>
    </row>
    <row r="44" spans="1:21" x14ac:dyDescent="0.3">
      <c r="A44" s="3" t="s">
        <v>166</v>
      </c>
      <c r="B44" s="2" t="s">
        <v>167</v>
      </c>
      <c r="C44" s="2" t="s">
        <v>168</v>
      </c>
      <c r="D44" s="2" t="s">
        <v>169</v>
      </c>
      <c r="E44" s="2">
        <v>100</v>
      </c>
      <c r="F44" s="2">
        <v>88</v>
      </c>
      <c r="G44" s="2">
        <f t="shared" si="0"/>
        <v>94</v>
      </c>
      <c r="H44" s="2">
        <v>20</v>
      </c>
      <c r="I44" s="2">
        <v>22</v>
      </c>
      <c r="J44" s="2">
        <v>20</v>
      </c>
      <c r="K44" s="2">
        <v>20</v>
      </c>
      <c r="L44" s="2">
        <f t="shared" si="1"/>
        <v>98.235294117647058</v>
      </c>
      <c r="M44" s="10">
        <v>40</v>
      </c>
      <c r="N44" s="10">
        <v>30</v>
      </c>
      <c r="O44" s="2">
        <f t="shared" si="2"/>
        <v>100</v>
      </c>
      <c r="P44" s="2">
        <f t="shared" si="3"/>
        <v>58.535294117647055</v>
      </c>
      <c r="Q44" s="2">
        <f t="shared" si="4"/>
        <v>97.558823529411768</v>
      </c>
      <c r="R44" s="2">
        <v>45</v>
      </c>
      <c r="S44" s="2">
        <f t="shared" si="5"/>
        <v>95</v>
      </c>
      <c r="T44" s="2">
        <f t="shared" si="6"/>
        <v>96.535294117647055</v>
      </c>
      <c r="U44" s="2" t="s">
        <v>218</v>
      </c>
    </row>
    <row r="45" spans="1:21" x14ac:dyDescent="0.3">
      <c r="A45" s="3" t="s">
        <v>170</v>
      </c>
      <c r="B45" s="2" t="s">
        <v>171</v>
      </c>
      <c r="C45" s="2" t="s">
        <v>172</v>
      </c>
      <c r="D45" s="2" t="s">
        <v>173</v>
      </c>
      <c r="E45" s="2">
        <v>90</v>
      </c>
      <c r="F45" s="2">
        <v>100</v>
      </c>
      <c r="G45" s="2">
        <f t="shared" si="0"/>
        <v>95</v>
      </c>
      <c r="H45" s="2">
        <v>15</v>
      </c>
      <c r="I45" s="2">
        <v>25</v>
      </c>
      <c r="J45" s="2">
        <v>20</v>
      </c>
      <c r="K45" s="2">
        <v>20</v>
      </c>
      <c r="L45" s="2">
        <f t="shared" si="1"/>
        <v>97.058823529411768</v>
      </c>
      <c r="M45" s="10">
        <v>40</v>
      </c>
      <c r="N45" s="10">
        <v>30</v>
      </c>
      <c r="O45" s="2">
        <f t="shared" si="2"/>
        <v>100</v>
      </c>
      <c r="P45" s="2">
        <f t="shared" si="3"/>
        <v>58.558823529411768</v>
      </c>
      <c r="Q45" s="2">
        <f t="shared" si="4"/>
        <v>97.598039215686285</v>
      </c>
      <c r="R45" s="2">
        <v>50</v>
      </c>
      <c r="S45" s="2">
        <f t="shared" si="5"/>
        <v>100</v>
      </c>
      <c r="T45" s="2">
        <f t="shared" si="6"/>
        <v>98.558823529411768</v>
      </c>
      <c r="U45" s="2" t="s">
        <v>218</v>
      </c>
    </row>
    <row r="46" spans="1:21" x14ac:dyDescent="0.3">
      <c r="A46" s="3" t="s">
        <v>174</v>
      </c>
      <c r="B46" s="2" t="s">
        <v>175</v>
      </c>
      <c r="C46" s="2" t="s">
        <v>176</v>
      </c>
      <c r="D46" s="2" t="s">
        <v>177</v>
      </c>
      <c r="E46" s="2">
        <v>100</v>
      </c>
      <c r="F46" s="2">
        <v>88</v>
      </c>
      <c r="G46" s="2">
        <f t="shared" si="0"/>
        <v>94</v>
      </c>
      <c r="H46" s="2">
        <v>20</v>
      </c>
      <c r="I46" s="2">
        <v>22</v>
      </c>
      <c r="J46" s="2">
        <v>20</v>
      </c>
      <c r="K46" s="2">
        <v>20</v>
      </c>
      <c r="L46" s="2">
        <f t="shared" si="1"/>
        <v>98.235294117647058</v>
      </c>
      <c r="M46" s="10">
        <v>35</v>
      </c>
      <c r="N46" s="10">
        <v>25</v>
      </c>
      <c r="O46" s="2">
        <f t="shared" si="2"/>
        <v>92.857142857142861</v>
      </c>
      <c r="P46" s="2">
        <f t="shared" si="3"/>
        <v>56.749579831932778</v>
      </c>
      <c r="Q46" s="2">
        <f t="shared" si="4"/>
        <v>94.582633053221301</v>
      </c>
      <c r="R46" s="2">
        <v>34</v>
      </c>
      <c r="S46" s="2">
        <f t="shared" si="5"/>
        <v>84</v>
      </c>
      <c r="T46" s="2">
        <f t="shared" si="6"/>
        <v>90.349579831932772</v>
      </c>
      <c r="U46" s="2" t="s">
        <v>218</v>
      </c>
    </row>
    <row r="47" spans="1:21" x14ac:dyDescent="0.3">
      <c r="A47" s="3" t="s">
        <v>178</v>
      </c>
      <c r="B47" s="2" t="s">
        <v>179</v>
      </c>
      <c r="C47" s="2" t="s">
        <v>180</v>
      </c>
      <c r="D47" s="2" t="s">
        <v>181</v>
      </c>
      <c r="E47" s="2">
        <v>90</v>
      </c>
      <c r="F47" s="2">
        <v>88</v>
      </c>
      <c r="G47" s="2">
        <f t="shared" si="0"/>
        <v>89</v>
      </c>
      <c r="H47" s="2">
        <v>15</v>
      </c>
      <c r="I47" s="2">
        <v>22</v>
      </c>
      <c r="J47" s="2">
        <v>20</v>
      </c>
      <c r="K47" s="2">
        <v>20</v>
      </c>
      <c r="L47" s="2">
        <f t="shared" si="1"/>
        <v>95.294117647058826</v>
      </c>
      <c r="M47" s="10">
        <v>35</v>
      </c>
      <c r="N47" s="10">
        <v>30</v>
      </c>
      <c r="O47" s="2">
        <f t="shared" si="2"/>
        <v>96.428571428571431</v>
      </c>
      <c r="P47" s="2">
        <f t="shared" si="3"/>
        <v>56.201260504201684</v>
      </c>
      <c r="Q47" s="2">
        <f t="shared" si="4"/>
        <v>93.668767507002812</v>
      </c>
      <c r="R47" s="2">
        <v>50</v>
      </c>
      <c r="S47" s="2">
        <f t="shared" si="5"/>
        <v>100</v>
      </c>
      <c r="T47" s="2">
        <f t="shared" si="6"/>
        <v>96.201260504201684</v>
      </c>
      <c r="U47" s="2" t="s">
        <v>218</v>
      </c>
    </row>
    <row r="48" spans="1:21" x14ac:dyDescent="0.3">
      <c r="A48" s="3" t="s">
        <v>182</v>
      </c>
      <c r="B48" s="2" t="s">
        <v>183</v>
      </c>
      <c r="C48" s="2" t="s">
        <v>184</v>
      </c>
      <c r="D48" s="2" t="s">
        <v>185</v>
      </c>
      <c r="E48" s="2">
        <v>100</v>
      </c>
      <c r="F48" s="2">
        <v>100</v>
      </c>
      <c r="G48" s="2">
        <f t="shared" si="0"/>
        <v>100</v>
      </c>
      <c r="H48" s="2">
        <v>20</v>
      </c>
      <c r="I48" s="2">
        <v>25</v>
      </c>
      <c r="J48" s="10">
        <v>0</v>
      </c>
      <c r="K48" s="10">
        <v>0</v>
      </c>
      <c r="L48" s="2">
        <f t="shared" si="1"/>
        <v>76.470588235294116</v>
      </c>
      <c r="M48" s="10">
        <v>38</v>
      </c>
      <c r="N48" s="10">
        <v>30</v>
      </c>
      <c r="O48" s="2">
        <f t="shared" si="2"/>
        <v>98.571428571428569</v>
      </c>
      <c r="P48" s="2">
        <f t="shared" si="3"/>
        <v>56.113445378151262</v>
      </c>
      <c r="Q48" s="2">
        <f t="shared" si="4"/>
        <v>93.522408963585434</v>
      </c>
      <c r="R48" s="2">
        <v>50</v>
      </c>
      <c r="S48" s="2">
        <f t="shared" si="5"/>
        <v>100</v>
      </c>
      <c r="T48" s="2">
        <f t="shared" si="6"/>
        <v>96.113445378151255</v>
      </c>
      <c r="U48" s="2" t="s">
        <v>218</v>
      </c>
    </row>
    <row r="49" spans="1:21" x14ac:dyDescent="0.3">
      <c r="A49" s="3" t="s">
        <v>186</v>
      </c>
      <c r="B49" s="2" t="s">
        <v>187</v>
      </c>
      <c r="C49" s="2" t="s">
        <v>188</v>
      </c>
      <c r="D49" s="2" t="s">
        <v>189</v>
      </c>
      <c r="E49" s="2">
        <v>100</v>
      </c>
      <c r="F49" s="2">
        <v>100</v>
      </c>
      <c r="G49" s="2">
        <f t="shared" si="0"/>
        <v>100</v>
      </c>
      <c r="H49" s="2">
        <v>20</v>
      </c>
      <c r="I49" s="2">
        <v>25</v>
      </c>
      <c r="J49" s="2">
        <v>20</v>
      </c>
      <c r="K49" s="2">
        <v>20</v>
      </c>
      <c r="L49" s="2">
        <f t="shared" si="1"/>
        <v>100</v>
      </c>
      <c r="M49" s="10">
        <v>35</v>
      </c>
      <c r="N49" s="10">
        <v>30</v>
      </c>
      <c r="O49" s="2">
        <f t="shared" si="2"/>
        <v>96.428571428571431</v>
      </c>
      <c r="P49" s="2">
        <f t="shared" si="3"/>
        <v>59.107142857142861</v>
      </c>
      <c r="Q49" s="2">
        <f t="shared" si="4"/>
        <v>98.511904761904773</v>
      </c>
      <c r="R49" s="2">
        <v>50</v>
      </c>
      <c r="S49" s="2">
        <f t="shared" si="5"/>
        <v>100</v>
      </c>
      <c r="T49" s="2">
        <f t="shared" si="6"/>
        <v>99.107142857142861</v>
      </c>
      <c r="U49" s="2" t="s">
        <v>218</v>
      </c>
    </row>
    <row r="50" spans="1:21" x14ac:dyDescent="0.3">
      <c r="A50" s="3" t="s">
        <v>190</v>
      </c>
      <c r="B50" s="2" t="s">
        <v>191</v>
      </c>
      <c r="C50" s="2" t="s">
        <v>192</v>
      </c>
      <c r="D50" s="2" t="s">
        <v>193</v>
      </c>
      <c r="E50" s="2">
        <v>100</v>
      </c>
      <c r="F50" s="2">
        <v>100</v>
      </c>
      <c r="G50" s="2">
        <f t="shared" si="0"/>
        <v>100</v>
      </c>
      <c r="H50" s="2">
        <v>20</v>
      </c>
      <c r="I50" s="2">
        <v>25</v>
      </c>
      <c r="J50" s="2">
        <v>20</v>
      </c>
      <c r="K50" s="2">
        <v>20</v>
      </c>
      <c r="L50" s="2">
        <f t="shared" si="1"/>
        <v>100</v>
      </c>
      <c r="M50" s="10">
        <v>35</v>
      </c>
      <c r="N50" s="10">
        <v>30</v>
      </c>
      <c r="O50" s="2">
        <f t="shared" si="2"/>
        <v>96.428571428571431</v>
      </c>
      <c r="P50" s="2">
        <f t="shared" si="3"/>
        <v>59.107142857142861</v>
      </c>
      <c r="Q50" s="2">
        <f t="shared" si="4"/>
        <v>98.511904761904773</v>
      </c>
      <c r="R50" s="2">
        <v>45</v>
      </c>
      <c r="S50" s="2">
        <f t="shared" si="5"/>
        <v>95</v>
      </c>
      <c r="T50" s="2">
        <f t="shared" si="6"/>
        <v>97.107142857142861</v>
      </c>
      <c r="U50" s="2" t="s">
        <v>218</v>
      </c>
    </row>
  </sheetData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AF40-CE43-491B-9EA5-1142DB929924}">
  <dimension ref="A1:H50"/>
  <sheetViews>
    <sheetView workbookViewId="0">
      <selection activeCell="M13" sqref="M13"/>
    </sheetView>
  </sheetViews>
  <sheetFormatPr defaultRowHeight="14.4" x14ac:dyDescent="0.3"/>
  <cols>
    <col min="1" max="1" width="14.77734375" bestFit="1" customWidth="1"/>
    <col min="2" max="2" width="9.77734375" bestFit="1" customWidth="1"/>
    <col min="3" max="3" width="19.21875" bestFit="1" customWidth="1"/>
    <col min="4" max="4" width="12.109375" bestFit="1" customWidth="1"/>
    <col min="5" max="5" width="7.21875" bestFit="1" customWidth="1"/>
    <col min="6" max="8" width="8.88671875" style="1"/>
  </cols>
  <sheetData>
    <row r="1" spans="1:8" x14ac:dyDescent="0.3">
      <c r="A1" s="4" t="s">
        <v>194</v>
      </c>
      <c r="B1" s="5" t="s">
        <v>195</v>
      </c>
      <c r="C1" s="5" t="s">
        <v>196</v>
      </c>
      <c r="D1" s="5" t="s">
        <v>197</v>
      </c>
      <c r="E1" s="6">
        <v>41852</v>
      </c>
      <c r="F1" s="7">
        <v>44409</v>
      </c>
      <c r="G1" s="7">
        <v>46966</v>
      </c>
      <c r="H1" s="7">
        <v>38231</v>
      </c>
    </row>
    <row r="2" spans="1:8" x14ac:dyDescent="0.3">
      <c r="A2" s="3" t="s">
        <v>0</v>
      </c>
      <c r="B2" s="2" t="s">
        <v>1</v>
      </c>
      <c r="C2" s="2" t="s">
        <v>2</v>
      </c>
      <c r="D2" s="2" t="s">
        <v>3</v>
      </c>
      <c r="E2" s="2" t="s">
        <v>202</v>
      </c>
      <c r="F2" s="2" t="s">
        <v>203</v>
      </c>
      <c r="G2" s="2" t="s">
        <v>202</v>
      </c>
      <c r="H2" s="2" t="s">
        <v>202</v>
      </c>
    </row>
    <row r="3" spans="1:8" x14ac:dyDescent="0.3">
      <c r="A3" s="3" t="s">
        <v>4</v>
      </c>
      <c r="B3" s="2" t="s">
        <v>5</v>
      </c>
      <c r="C3" s="2" t="s">
        <v>6</v>
      </c>
      <c r="D3" s="2" t="s">
        <v>7</v>
      </c>
      <c r="E3" s="2" t="s">
        <v>202</v>
      </c>
      <c r="F3" s="2" t="s">
        <v>203</v>
      </c>
      <c r="G3" s="2" t="s">
        <v>202</v>
      </c>
      <c r="H3" s="2" t="s">
        <v>202</v>
      </c>
    </row>
    <row r="4" spans="1:8" x14ac:dyDescent="0.3">
      <c r="A4" s="3" t="s">
        <v>8</v>
      </c>
      <c r="B4" s="2" t="s">
        <v>9</v>
      </c>
      <c r="C4" s="2" t="s">
        <v>10</v>
      </c>
      <c r="D4" s="2" t="s">
        <v>11</v>
      </c>
      <c r="E4" s="2" t="s">
        <v>202</v>
      </c>
      <c r="F4" s="2" t="s">
        <v>203</v>
      </c>
      <c r="G4" s="2" t="s">
        <v>202</v>
      </c>
      <c r="H4" s="2" t="s">
        <v>202</v>
      </c>
    </row>
    <row r="5" spans="1:8" x14ac:dyDescent="0.3">
      <c r="A5" s="3" t="s">
        <v>12</v>
      </c>
      <c r="B5" s="2" t="s">
        <v>13</v>
      </c>
      <c r="C5" s="2" t="s">
        <v>14</v>
      </c>
      <c r="D5" s="2" t="s">
        <v>15</v>
      </c>
      <c r="E5" s="2" t="s">
        <v>202</v>
      </c>
      <c r="F5" s="2" t="s">
        <v>203</v>
      </c>
      <c r="G5" s="2" t="s">
        <v>202</v>
      </c>
      <c r="H5" s="2" t="s">
        <v>202</v>
      </c>
    </row>
    <row r="6" spans="1:8" x14ac:dyDescent="0.3">
      <c r="A6" s="3" t="s">
        <v>16</v>
      </c>
      <c r="B6" s="2" t="s">
        <v>17</v>
      </c>
      <c r="C6" s="2" t="s">
        <v>18</v>
      </c>
      <c r="D6" s="2" t="s">
        <v>19</v>
      </c>
      <c r="E6" s="2" t="s">
        <v>202</v>
      </c>
      <c r="F6" s="2" t="s">
        <v>203</v>
      </c>
      <c r="G6" s="2" t="s">
        <v>202</v>
      </c>
      <c r="H6" s="2" t="s">
        <v>202</v>
      </c>
    </row>
    <row r="7" spans="1:8" x14ac:dyDescent="0.3">
      <c r="A7" s="3" t="s">
        <v>20</v>
      </c>
      <c r="B7" s="2" t="s">
        <v>21</v>
      </c>
      <c r="C7" s="2" t="s">
        <v>22</v>
      </c>
      <c r="D7" s="2" t="s">
        <v>23</v>
      </c>
      <c r="E7" s="2" t="s">
        <v>202</v>
      </c>
      <c r="F7" s="2" t="s">
        <v>203</v>
      </c>
      <c r="G7" s="2" t="s">
        <v>202</v>
      </c>
      <c r="H7" s="2" t="s">
        <v>202</v>
      </c>
    </row>
    <row r="8" spans="1:8" x14ac:dyDescent="0.3">
      <c r="A8" s="3" t="s">
        <v>24</v>
      </c>
      <c r="B8" s="2" t="s">
        <v>25</v>
      </c>
      <c r="C8" s="2" t="s">
        <v>26</v>
      </c>
      <c r="D8" s="2" t="s">
        <v>27</v>
      </c>
      <c r="E8" s="2" t="s">
        <v>202</v>
      </c>
      <c r="F8" s="2" t="s">
        <v>203</v>
      </c>
      <c r="G8" s="2" t="s">
        <v>202</v>
      </c>
      <c r="H8" s="2" t="s">
        <v>202</v>
      </c>
    </row>
    <row r="9" spans="1:8" x14ac:dyDescent="0.3">
      <c r="A9" s="3" t="s">
        <v>28</v>
      </c>
      <c r="B9" s="2" t="s">
        <v>29</v>
      </c>
      <c r="C9" s="2" t="s">
        <v>30</v>
      </c>
      <c r="D9" s="2" t="s">
        <v>31</v>
      </c>
      <c r="E9" s="2" t="s">
        <v>202</v>
      </c>
      <c r="F9" s="2" t="s">
        <v>203</v>
      </c>
      <c r="G9" s="2" t="s">
        <v>202</v>
      </c>
      <c r="H9" s="2" t="s">
        <v>202</v>
      </c>
    </row>
    <row r="10" spans="1:8" x14ac:dyDescent="0.3">
      <c r="A10" s="3" t="s">
        <v>32</v>
      </c>
      <c r="B10" s="2" t="s">
        <v>33</v>
      </c>
      <c r="C10" s="2" t="s">
        <v>34</v>
      </c>
      <c r="D10" s="2" t="s">
        <v>35</v>
      </c>
      <c r="E10" s="2" t="s">
        <v>202</v>
      </c>
      <c r="F10" s="2" t="s">
        <v>203</v>
      </c>
      <c r="G10" s="2" t="s">
        <v>202</v>
      </c>
      <c r="H10" s="2" t="s">
        <v>202</v>
      </c>
    </row>
    <row r="11" spans="1:8" x14ac:dyDescent="0.3">
      <c r="A11" s="3" t="s">
        <v>36</v>
      </c>
      <c r="B11" s="2" t="s">
        <v>37</v>
      </c>
      <c r="C11" s="2" t="s">
        <v>38</v>
      </c>
      <c r="D11" s="2" t="s">
        <v>39</v>
      </c>
      <c r="E11" s="2" t="s">
        <v>202</v>
      </c>
      <c r="F11" s="2" t="s">
        <v>203</v>
      </c>
      <c r="G11" s="2" t="s">
        <v>202</v>
      </c>
      <c r="H11" s="2" t="s">
        <v>202</v>
      </c>
    </row>
    <row r="12" spans="1:8" x14ac:dyDescent="0.3">
      <c r="A12" s="3" t="s">
        <v>40</v>
      </c>
      <c r="B12" s="2" t="s">
        <v>41</v>
      </c>
      <c r="C12" s="2" t="s">
        <v>42</v>
      </c>
      <c r="D12" s="2" t="s">
        <v>43</v>
      </c>
      <c r="E12" s="2" t="s">
        <v>202</v>
      </c>
      <c r="F12" s="2" t="s">
        <v>203</v>
      </c>
      <c r="G12" s="2" t="s">
        <v>202</v>
      </c>
      <c r="H12" s="2" t="s">
        <v>202</v>
      </c>
    </row>
    <row r="13" spans="1:8" x14ac:dyDescent="0.3">
      <c r="A13" s="3" t="s">
        <v>44</v>
      </c>
      <c r="B13" s="2" t="s">
        <v>45</v>
      </c>
      <c r="C13" s="2" t="s">
        <v>46</v>
      </c>
      <c r="D13" s="2" t="s">
        <v>47</v>
      </c>
      <c r="E13" s="2" t="s">
        <v>202</v>
      </c>
      <c r="F13" s="2" t="s">
        <v>203</v>
      </c>
      <c r="G13" s="2" t="s">
        <v>202</v>
      </c>
      <c r="H13" s="2" t="s">
        <v>202</v>
      </c>
    </row>
    <row r="14" spans="1:8" x14ac:dyDescent="0.3">
      <c r="A14" s="3" t="s">
        <v>48</v>
      </c>
      <c r="B14" s="2" t="s">
        <v>49</v>
      </c>
      <c r="C14" s="2" t="s">
        <v>50</v>
      </c>
      <c r="D14" s="2" t="s">
        <v>51</v>
      </c>
      <c r="E14" s="2" t="s">
        <v>202</v>
      </c>
      <c r="F14" s="2" t="s">
        <v>203</v>
      </c>
      <c r="G14" s="2" t="s">
        <v>202</v>
      </c>
      <c r="H14" s="2" t="s">
        <v>202</v>
      </c>
    </row>
    <row r="15" spans="1:8" x14ac:dyDescent="0.3">
      <c r="A15" s="3" t="s">
        <v>52</v>
      </c>
      <c r="B15" s="2" t="s">
        <v>53</v>
      </c>
      <c r="C15" s="2" t="s">
        <v>54</v>
      </c>
      <c r="D15" s="2" t="s">
        <v>55</v>
      </c>
      <c r="E15" s="2" t="s">
        <v>202</v>
      </c>
      <c r="F15" s="2" t="s">
        <v>203</v>
      </c>
      <c r="G15" s="2" t="s">
        <v>202</v>
      </c>
      <c r="H15" s="2" t="s">
        <v>202</v>
      </c>
    </row>
    <row r="16" spans="1:8" x14ac:dyDescent="0.3">
      <c r="A16" s="3" t="s">
        <v>56</v>
      </c>
      <c r="B16" s="2" t="s">
        <v>57</v>
      </c>
      <c r="C16" s="2" t="s">
        <v>58</v>
      </c>
      <c r="D16" s="2" t="s">
        <v>59</v>
      </c>
      <c r="E16" s="2" t="s">
        <v>202</v>
      </c>
      <c r="F16" s="2" t="s">
        <v>203</v>
      </c>
      <c r="G16" s="2" t="s">
        <v>202</v>
      </c>
      <c r="H16" s="2" t="s">
        <v>202</v>
      </c>
    </row>
    <row r="17" spans="1:8" x14ac:dyDescent="0.3">
      <c r="A17" s="3" t="s">
        <v>60</v>
      </c>
      <c r="B17" s="2" t="s">
        <v>61</v>
      </c>
      <c r="C17" s="2" t="s">
        <v>62</v>
      </c>
      <c r="D17" s="2" t="s">
        <v>63</v>
      </c>
      <c r="E17" s="2" t="s">
        <v>202</v>
      </c>
      <c r="F17" s="2" t="s">
        <v>203</v>
      </c>
      <c r="G17" s="2" t="s">
        <v>202</v>
      </c>
      <c r="H17" s="2" t="s">
        <v>202</v>
      </c>
    </row>
    <row r="18" spans="1:8" x14ac:dyDescent="0.3">
      <c r="A18" s="3" t="s">
        <v>64</v>
      </c>
      <c r="B18" s="2" t="s">
        <v>65</v>
      </c>
      <c r="C18" s="2" t="s">
        <v>66</v>
      </c>
      <c r="D18" s="2" t="s">
        <v>67</v>
      </c>
      <c r="E18" s="2" t="s">
        <v>202</v>
      </c>
      <c r="F18" s="2" t="s">
        <v>203</v>
      </c>
      <c r="G18" s="2" t="s">
        <v>202</v>
      </c>
      <c r="H18" s="8" t="s">
        <v>204</v>
      </c>
    </row>
    <row r="19" spans="1:8" x14ac:dyDescent="0.3">
      <c r="A19" s="3" t="s">
        <v>68</v>
      </c>
      <c r="B19" s="2" t="s">
        <v>69</v>
      </c>
      <c r="C19" s="2" t="s">
        <v>70</v>
      </c>
      <c r="D19" s="2" t="s">
        <v>71</v>
      </c>
      <c r="E19" s="2" t="s">
        <v>202</v>
      </c>
      <c r="F19" s="2" t="s">
        <v>203</v>
      </c>
      <c r="G19" s="2" t="s">
        <v>202</v>
      </c>
      <c r="H19" s="2" t="s">
        <v>202</v>
      </c>
    </row>
    <row r="20" spans="1:8" x14ac:dyDescent="0.3">
      <c r="A20" s="3" t="s">
        <v>72</v>
      </c>
      <c r="B20" s="2" t="s">
        <v>73</v>
      </c>
      <c r="C20" s="2" t="s">
        <v>74</v>
      </c>
      <c r="D20" s="2" t="s">
        <v>75</v>
      </c>
      <c r="E20" s="2" t="s">
        <v>202</v>
      </c>
      <c r="F20" s="2" t="s">
        <v>203</v>
      </c>
      <c r="G20" s="2" t="s">
        <v>202</v>
      </c>
      <c r="H20" s="2" t="s">
        <v>202</v>
      </c>
    </row>
    <row r="21" spans="1:8" x14ac:dyDescent="0.3">
      <c r="A21" s="3" t="s">
        <v>76</v>
      </c>
      <c r="B21" s="2" t="s">
        <v>77</v>
      </c>
      <c r="C21" s="2" t="s">
        <v>78</v>
      </c>
      <c r="D21" s="2" t="s">
        <v>79</v>
      </c>
      <c r="E21" s="2" t="s">
        <v>202</v>
      </c>
      <c r="F21" s="2" t="s">
        <v>203</v>
      </c>
      <c r="G21" s="2" t="s">
        <v>202</v>
      </c>
      <c r="H21" s="2" t="s">
        <v>202</v>
      </c>
    </row>
    <row r="22" spans="1:8" x14ac:dyDescent="0.3">
      <c r="A22" s="3" t="s">
        <v>80</v>
      </c>
      <c r="B22" s="2" t="s">
        <v>81</v>
      </c>
      <c r="C22" s="2" t="s">
        <v>82</v>
      </c>
      <c r="D22" s="2" t="s">
        <v>83</v>
      </c>
      <c r="E22" s="2" t="s">
        <v>202</v>
      </c>
      <c r="F22" s="2" t="s">
        <v>203</v>
      </c>
      <c r="G22" s="2" t="s">
        <v>202</v>
      </c>
      <c r="H22" s="2" t="s">
        <v>202</v>
      </c>
    </row>
    <row r="23" spans="1:8" x14ac:dyDescent="0.3">
      <c r="A23" s="3" t="s">
        <v>84</v>
      </c>
      <c r="B23" s="2" t="s">
        <v>85</v>
      </c>
      <c r="C23" s="2" t="s">
        <v>86</v>
      </c>
      <c r="D23" s="2" t="s">
        <v>87</v>
      </c>
      <c r="E23" s="2" t="s">
        <v>202</v>
      </c>
      <c r="F23" s="2" t="s">
        <v>203</v>
      </c>
      <c r="G23" s="2" t="s">
        <v>202</v>
      </c>
      <c r="H23" s="2" t="s">
        <v>202</v>
      </c>
    </row>
    <row r="24" spans="1:8" x14ac:dyDescent="0.3">
      <c r="A24" s="3" t="s">
        <v>88</v>
      </c>
      <c r="B24" s="2" t="s">
        <v>89</v>
      </c>
      <c r="C24" s="2" t="s">
        <v>90</v>
      </c>
      <c r="D24" s="2" t="s">
        <v>91</v>
      </c>
      <c r="E24" s="2" t="s">
        <v>202</v>
      </c>
      <c r="F24" s="2" t="s">
        <v>203</v>
      </c>
      <c r="G24" s="2" t="s">
        <v>202</v>
      </c>
      <c r="H24" s="2" t="s">
        <v>202</v>
      </c>
    </row>
    <row r="25" spans="1:8" x14ac:dyDescent="0.3">
      <c r="A25" s="3" t="s">
        <v>92</v>
      </c>
      <c r="B25" s="2" t="s">
        <v>93</v>
      </c>
      <c r="C25" s="2" t="s">
        <v>94</v>
      </c>
      <c r="D25" s="2"/>
      <c r="E25" s="2" t="s">
        <v>202</v>
      </c>
      <c r="F25" s="2" t="s">
        <v>203</v>
      </c>
      <c r="G25" s="2" t="s">
        <v>202</v>
      </c>
      <c r="H25" s="2" t="s">
        <v>202</v>
      </c>
    </row>
    <row r="26" spans="1:8" x14ac:dyDescent="0.3">
      <c r="A26" s="3" t="s">
        <v>95</v>
      </c>
      <c r="B26" s="2" t="s">
        <v>96</v>
      </c>
      <c r="C26" s="2" t="s">
        <v>97</v>
      </c>
      <c r="D26" s="2" t="s">
        <v>98</v>
      </c>
      <c r="E26" s="2" t="s">
        <v>202</v>
      </c>
      <c r="F26" s="2" t="s">
        <v>203</v>
      </c>
      <c r="G26" s="2" t="s">
        <v>202</v>
      </c>
      <c r="H26" s="2" t="s">
        <v>202</v>
      </c>
    </row>
    <row r="27" spans="1:8" x14ac:dyDescent="0.3">
      <c r="A27" s="3" t="s">
        <v>99</v>
      </c>
      <c r="B27" s="2" t="s">
        <v>100</v>
      </c>
      <c r="C27" s="2" t="s">
        <v>101</v>
      </c>
      <c r="D27" s="2" t="s">
        <v>102</v>
      </c>
      <c r="E27" s="2" t="s">
        <v>202</v>
      </c>
      <c r="F27" s="2" t="s">
        <v>203</v>
      </c>
      <c r="G27" s="2" t="s">
        <v>202</v>
      </c>
      <c r="H27" s="2" t="s">
        <v>202</v>
      </c>
    </row>
    <row r="28" spans="1:8" x14ac:dyDescent="0.3">
      <c r="A28" s="3" t="s">
        <v>103</v>
      </c>
      <c r="B28" s="2" t="s">
        <v>104</v>
      </c>
      <c r="C28" s="2" t="s">
        <v>105</v>
      </c>
      <c r="D28" s="2" t="s">
        <v>106</v>
      </c>
      <c r="E28" s="2" t="s">
        <v>202</v>
      </c>
      <c r="F28" s="2" t="s">
        <v>203</v>
      </c>
      <c r="G28" s="2" t="s">
        <v>202</v>
      </c>
      <c r="H28" s="2" t="s">
        <v>202</v>
      </c>
    </row>
    <row r="29" spans="1:8" x14ac:dyDescent="0.3">
      <c r="A29" s="3" t="s">
        <v>107</v>
      </c>
      <c r="B29" s="2" t="s">
        <v>108</v>
      </c>
      <c r="C29" s="2" t="s">
        <v>109</v>
      </c>
      <c r="D29" s="2" t="s">
        <v>110</v>
      </c>
      <c r="E29" s="2" t="s">
        <v>202</v>
      </c>
      <c r="F29" s="2" t="s">
        <v>203</v>
      </c>
      <c r="G29" s="2" t="s">
        <v>202</v>
      </c>
      <c r="H29" s="2" t="s">
        <v>202</v>
      </c>
    </row>
    <row r="30" spans="1:8" x14ac:dyDescent="0.3">
      <c r="A30" s="3" t="s">
        <v>111</v>
      </c>
      <c r="B30" s="2" t="s">
        <v>112</v>
      </c>
      <c r="C30" s="2" t="s">
        <v>113</v>
      </c>
      <c r="D30" s="2" t="s">
        <v>114</v>
      </c>
      <c r="E30" s="2" t="s">
        <v>202</v>
      </c>
      <c r="F30" s="2" t="s">
        <v>203</v>
      </c>
      <c r="G30" s="2" t="s">
        <v>202</v>
      </c>
      <c r="H30" s="2" t="s">
        <v>202</v>
      </c>
    </row>
    <row r="31" spans="1:8" x14ac:dyDescent="0.3">
      <c r="A31" s="3" t="s">
        <v>115</v>
      </c>
      <c r="B31" s="2" t="s">
        <v>116</v>
      </c>
      <c r="C31" s="2" t="s">
        <v>117</v>
      </c>
      <c r="D31" s="2" t="s">
        <v>11</v>
      </c>
      <c r="E31" s="2" t="s">
        <v>202</v>
      </c>
      <c r="F31" s="2" t="s">
        <v>203</v>
      </c>
      <c r="G31" s="2" t="s">
        <v>202</v>
      </c>
      <c r="H31" s="2" t="s">
        <v>202</v>
      </c>
    </row>
    <row r="32" spans="1:8" x14ac:dyDescent="0.3">
      <c r="A32" s="3" t="s">
        <v>118</v>
      </c>
      <c r="B32" s="2" t="s">
        <v>119</v>
      </c>
      <c r="C32" s="2" t="s">
        <v>120</v>
      </c>
      <c r="D32" s="2" t="s">
        <v>121</v>
      </c>
      <c r="E32" s="2" t="s">
        <v>202</v>
      </c>
      <c r="F32" s="2" t="s">
        <v>203</v>
      </c>
      <c r="G32" s="2" t="s">
        <v>202</v>
      </c>
      <c r="H32" s="2" t="s">
        <v>202</v>
      </c>
    </row>
    <row r="33" spans="1:8" x14ac:dyDescent="0.3">
      <c r="A33" s="3" t="s">
        <v>122</v>
      </c>
      <c r="B33" s="2" t="s">
        <v>123</v>
      </c>
      <c r="C33" s="2" t="s">
        <v>124</v>
      </c>
      <c r="D33" s="2" t="s">
        <v>125</v>
      </c>
      <c r="E33" s="2" t="s">
        <v>202</v>
      </c>
      <c r="F33" s="2" t="s">
        <v>203</v>
      </c>
      <c r="G33" s="2" t="s">
        <v>202</v>
      </c>
      <c r="H33" s="2" t="s">
        <v>202</v>
      </c>
    </row>
    <row r="34" spans="1:8" x14ac:dyDescent="0.3">
      <c r="A34" s="3" t="s">
        <v>126</v>
      </c>
      <c r="B34" s="2" t="s">
        <v>127</v>
      </c>
      <c r="C34" s="2" t="s">
        <v>128</v>
      </c>
      <c r="D34" s="2" t="s">
        <v>129</v>
      </c>
      <c r="E34" s="2" t="s">
        <v>202</v>
      </c>
      <c r="F34" s="2" t="s">
        <v>203</v>
      </c>
      <c r="G34" s="2" t="s">
        <v>202</v>
      </c>
      <c r="H34" s="2" t="s">
        <v>202</v>
      </c>
    </row>
    <row r="35" spans="1:8" x14ac:dyDescent="0.3">
      <c r="A35" s="3" t="s">
        <v>130</v>
      </c>
      <c r="B35" s="2" t="s">
        <v>131</v>
      </c>
      <c r="C35" s="2" t="s">
        <v>132</v>
      </c>
      <c r="D35" s="2" t="s">
        <v>133</v>
      </c>
      <c r="E35" s="2" t="s">
        <v>202</v>
      </c>
      <c r="F35" s="2" t="s">
        <v>203</v>
      </c>
      <c r="G35" s="2" t="s">
        <v>202</v>
      </c>
      <c r="H35" s="2" t="s">
        <v>202</v>
      </c>
    </row>
    <row r="36" spans="1:8" x14ac:dyDescent="0.3">
      <c r="A36" s="3" t="s">
        <v>134</v>
      </c>
      <c r="B36" s="2" t="s">
        <v>135</v>
      </c>
      <c r="C36" s="2" t="s">
        <v>136</v>
      </c>
      <c r="D36" s="2" t="s">
        <v>137</v>
      </c>
      <c r="E36" s="2" t="s">
        <v>202</v>
      </c>
      <c r="F36" s="2" t="s">
        <v>203</v>
      </c>
      <c r="G36" s="2" t="s">
        <v>202</v>
      </c>
      <c r="H36" s="2" t="s">
        <v>202</v>
      </c>
    </row>
    <row r="37" spans="1:8" x14ac:dyDescent="0.3">
      <c r="A37" s="3" t="s">
        <v>138</v>
      </c>
      <c r="B37" s="2" t="s">
        <v>139</v>
      </c>
      <c r="C37" s="2" t="s">
        <v>140</v>
      </c>
      <c r="D37" s="2" t="s">
        <v>141</v>
      </c>
      <c r="E37" s="2" t="s">
        <v>202</v>
      </c>
      <c r="F37" s="2" t="s">
        <v>203</v>
      </c>
      <c r="G37" s="2" t="s">
        <v>202</v>
      </c>
      <c r="H37" s="2" t="s">
        <v>202</v>
      </c>
    </row>
    <row r="38" spans="1:8" x14ac:dyDescent="0.3">
      <c r="A38" s="3" t="s">
        <v>142</v>
      </c>
      <c r="B38" s="2" t="s">
        <v>143</v>
      </c>
      <c r="C38" s="2" t="s">
        <v>144</v>
      </c>
      <c r="D38" s="2" t="s">
        <v>145</v>
      </c>
      <c r="E38" s="2" t="s">
        <v>202</v>
      </c>
      <c r="F38" s="2" t="s">
        <v>203</v>
      </c>
      <c r="G38" s="2" t="s">
        <v>202</v>
      </c>
      <c r="H38" s="2" t="s">
        <v>202</v>
      </c>
    </row>
    <row r="39" spans="1:8" x14ac:dyDescent="0.3">
      <c r="A39" s="3" t="s">
        <v>146</v>
      </c>
      <c r="B39" s="2" t="s">
        <v>147</v>
      </c>
      <c r="C39" s="2" t="s">
        <v>148</v>
      </c>
      <c r="D39" s="2" t="s">
        <v>149</v>
      </c>
      <c r="E39" s="2" t="s">
        <v>202</v>
      </c>
      <c r="F39" s="2" t="s">
        <v>203</v>
      </c>
      <c r="G39" s="2" t="s">
        <v>202</v>
      </c>
      <c r="H39" s="2" t="s">
        <v>202</v>
      </c>
    </row>
    <row r="40" spans="1:8" x14ac:dyDescent="0.3">
      <c r="A40" s="3" t="s">
        <v>150</v>
      </c>
      <c r="B40" s="2" t="s">
        <v>151</v>
      </c>
      <c r="C40" s="2" t="s">
        <v>152</v>
      </c>
      <c r="D40" s="2" t="s">
        <v>153</v>
      </c>
      <c r="E40" s="2" t="s">
        <v>202</v>
      </c>
      <c r="F40" s="2" t="s">
        <v>203</v>
      </c>
      <c r="G40" s="2" t="s">
        <v>202</v>
      </c>
      <c r="H40" s="2" t="s">
        <v>202</v>
      </c>
    </row>
    <row r="41" spans="1:8" x14ac:dyDescent="0.3">
      <c r="A41" s="3" t="s">
        <v>154</v>
      </c>
      <c r="B41" s="2" t="s">
        <v>155</v>
      </c>
      <c r="C41" s="2" t="s">
        <v>156</v>
      </c>
      <c r="D41" s="2" t="s">
        <v>157</v>
      </c>
      <c r="E41" s="2" t="s">
        <v>202</v>
      </c>
      <c r="F41" s="2" t="s">
        <v>203</v>
      </c>
      <c r="G41" s="2" t="s">
        <v>202</v>
      </c>
      <c r="H41" s="2" t="s">
        <v>202</v>
      </c>
    </row>
    <row r="42" spans="1:8" x14ac:dyDescent="0.3">
      <c r="A42" s="3" t="s">
        <v>158</v>
      </c>
      <c r="B42" s="2" t="s">
        <v>159</v>
      </c>
      <c r="C42" s="2" t="s">
        <v>160</v>
      </c>
      <c r="D42" s="2" t="s">
        <v>161</v>
      </c>
      <c r="E42" s="2" t="s">
        <v>202</v>
      </c>
      <c r="F42" s="2" t="s">
        <v>203</v>
      </c>
      <c r="G42" s="2" t="s">
        <v>202</v>
      </c>
      <c r="H42" s="2" t="s">
        <v>202</v>
      </c>
    </row>
    <row r="43" spans="1:8" x14ac:dyDescent="0.3">
      <c r="A43" s="3" t="s">
        <v>162</v>
      </c>
      <c r="B43" s="2" t="s">
        <v>163</v>
      </c>
      <c r="C43" s="2" t="s">
        <v>164</v>
      </c>
      <c r="D43" s="2" t="s">
        <v>165</v>
      </c>
      <c r="E43" s="2" t="s">
        <v>202</v>
      </c>
      <c r="F43" s="2" t="s">
        <v>203</v>
      </c>
      <c r="G43" s="2" t="s">
        <v>202</v>
      </c>
      <c r="H43" s="2" t="s">
        <v>202</v>
      </c>
    </row>
    <row r="44" spans="1:8" x14ac:dyDescent="0.3">
      <c r="A44" s="3" t="s">
        <v>166</v>
      </c>
      <c r="B44" s="2" t="s">
        <v>167</v>
      </c>
      <c r="C44" s="2" t="s">
        <v>168</v>
      </c>
      <c r="D44" s="2" t="s">
        <v>169</v>
      </c>
      <c r="E44" s="2" t="s">
        <v>202</v>
      </c>
      <c r="F44" s="2" t="s">
        <v>203</v>
      </c>
      <c r="G44" s="2" t="s">
        <v>202</v>
      </c>
      <c r="H44" s="2" t="s">
        <v>202</v>
      </c>
    </row>
    <row r="45" spans="1:8" x14ac:dyDescent="0.3">
      <c r="A45" s="3" t="s">
        <v>170</v>
      </c>
      <c r="B45" s="2" t="s">
        <v>171</v>
      </c>
      <c r="C45" s="2" t="s">
        <v>172</v>
      </c>
      <c r="D45" s="2" t="s">
        <v>173</v>
      </c>
      <c r="E45" s="2" t="s">
        <v>202</v>
      </c>
      <c r="F45" s="2" t="s">
        <v>203</v>
      </c>
      <c r="G45" s="2" t="s">
        <v>202</v>
      </c>
      <c r="H45" s="2" t="s">
        <v>202</v>
      </c>
    </row>
    <row r="46" spans="1:8" x14ac:dyDescent="0.3">
      <c r="A46" s="3" t="s">
        <v>174</v>
      </c>
      <c r="B46" s="2" t="s">
        <v>175</v>
      </c>
      <c r="C46" s="2" t="s">
        <v>176</v>
      </c>
      <c r="D46" s="2" t="s">
        <v>177</v>
      </c>
      <c r="E46" s="2" t="s">
        <v>202</v>
      </c>
      <c r="F46" s="2" t="s">
        <v>203</v>
      </c>
      <c r="G46" s="2" t="s">
        <v>202</v>
      </c>
      <c r="H46" s="2" t="s">
        <v>202</v>
      </c>
    </row>
    <row r="47" spans="1:8" x14ac:dyDescent="0.3">
      <c r="A47" s="3" t="s">
        <v>178</v>
      </c>
      <c r="B47" s="2" t="s">
        <v>179</v>
      </c>
      <c r="C47" s="2" t="s">
        <v>180</v>
      </c>
      <c r="D47" s="2" t="s">
        <v>181</v>
      </c>
      <c r="E47" s="2" t="s">
        <v>202</v>
      </c>
      <c r="F47" s="2" t="s">
        <v>203</v>
      </c>
      <c r="G47" s="2" t="s">
        <v>202</v>
      </c>
      <c r="H47" s="2" t="s">
        <v>202</v>
      </c>
    </row>
    <row r="48" spans="1:8" x14ac:dyDescent="0.3">
      <c r="A48" s="3" t="s">
        <v>182</v>
      </c>
      <c r="B48" s="2" t="s">
        <v>183</v>
      </c>
      <c r="C48" s="2" t="s">
        <v>184</v>
      </c>
      <c r="D48" s="2" t="s">
        <v>185</v>
      </c>
      <c r="E48" s="2" t="s">
        <v>202</v>
      </c>
      <c r="F48" s="2" t="s">
        <v>203</v>
      </c>
      <c r="G48" s="2" t="s">
        <v>202</v>
      </c>
      <c r="H48" s="2" t="s">
        <v>202</v>
      </c>
    </row>
    <row r="49" spans="1:8" x14ac:dyDescent="0.3">
      <c r="A49" s="3" t="s">
        <v>186</v>
      </c>
      <c r="B49" s="2" t="s">
        <v>187</v>
      </c>
      <c r="C49" s="2" t="s">
        <v>188</v>
      </c>
      <c r="D49" s="2" t="s">
        <v>189</v>
      </c>
      <c r="E49" s="2" t="s">
        <v>202</v>
      </c>
      <c r="F49" s="2" t="s">
        <v>203</v>
      </c>
      <c r="G49" s="2" t="s">
        <v>202</v>
      </c>
      <c r="H49" s="2" t="s">
        <v>202</v>
      </c>
    </row>
    <row r="50" spans="1:8" x14ac:dyDescent="0.3">
      <c r="A50" s="3" t="s">
        <v>190</v>
      </c>
      <c r="B50" s="2" t="s">
        <v>191</v>
      </c>
      <c r="C50" s="2" t="s">
        <v>192</v>
      </c>
      <c r="D50" s="2" t="s">
        <v>193</v>
      </c>
      <c r="E50" s="2" t="s">
        <v>202</v>
      </c>
      <c r="F50" s="2" t="s">
        <v>203</v>
      </c>
      <c r="G50" s="2" t="s">
        <v>202</v>
      </c>
      <c r="H50" s="2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Record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romero</dc:creator>
  <cp:lastModifiedBy>carlo romero</cp:lastModifiedBy>
  <dcterms:created xsi:type="dcterms:W3CDTF">2025-09-04T15:34:10Z</dcterms:created>
  <dcterms:modified xsi:type="dcterms:W3CDTF">2025-11-02T08:42:23Z</dcterms:modified>
</cp:coreProperties>
</file>